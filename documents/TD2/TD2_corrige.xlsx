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4994f5a795f6aab/Doc enseignement/Université Paris1 Panthéon-Sorbonne/Année 2025-2026/TD2/"/>
    </mc:Choice>
  </mc:AlternateContent>
  <xr:revisionPtr revIDLastSave="431" documentId="11_815ADB0CADF006AE32FE069F16FEA8C829E5B77F" xr6:coauthVersionLast="47" xr6:coauthVersionMax="47" xr10:uidLastSave="{02E235AD-AE9D-4922-B85D-5E302E267F2A}"/>
  <bookViews>
    <workbookView xWindow="-108" yWindow="-108" windowWidth="23256" windowHeight="12456" tabRatio="500" xr2:uid="{00000000-000D-0000-FFFF-FFFF00000000}"/>
  </bookViews>
  <sheets>
    <sheet name="F1-Instructions" sheetId="1" r:id="rId1"/>
    <sheet name="F2" sheetId="2" r:id="rId2"/>
    <sheet name="F3" sheetId="3" r:id="rId3"/>
    <sheet name="F3-Sans Extreme" sheetId="5" r:id="rId4"/>
    <sheet name="F4" sheetId="4" r:id="rId5"/>
    <sheet name=" F4- Carto" sheetId="6" r:id="rId6"/>
  </sheets>
  <definedNames>
    <definedName name="_xlnm._FilterDatabase" localSheetId="4" hidden="1">'F4'!$F$11:$F$207</definedName>
    <definedName name="EG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46" i="4" l="1"/>
  <c r="F146" i="4" s="1"/>
  <c r="E70" i="4"/>
  <c r="F70" i="4" s="1"/>
  <c r="E39" i="4"/>
  <c r="F39" i="4" s="1"/>
  <c r="E159" i="4"/>
  <c r="F159" i="4" s="1"/>
  <c r="E199" i="4"/>
  <c r="F199" i="4" s="1"/>
  <c r="E110" i="4"/>
  <c r="F110" i="4" s="1"/>
  <c r="E42" i="4"/>
  <c r="F42" i="4" s="1"/>
  <c r="E67" i="4"/>
  <c r="F67" i="4" s="1"/>
  <c r="E147" i="4"/>
  <c r="F147" i="4" s="1"/>
  <c r="E91" i="4"/>
  <c r="F91" i="4" s="1"/>
  <c r="E59" i="4"/>
  <c r="F59" i="4" s="1"/>
  <c r="E40" i="4"/>
  <c r="F40" i="4" s="1"/>
  <c r="E82" i="4"/>
  <c r="F82" i="4" s="1"/>
  <c r="E44" i="4"/>
  <c r="F44" i="4" s="1"/>
  <c r="E168" i="4"/>
  <c r="F168" i="4" s="1"/>
  <c r="E14" i="4"/>
  <c r="F14" i="4" s="1"/>
  <c r="E171" i="4"/>
  <c r="F171" i="4" s="1"/>
  <c r="E54" i="4"/>
  <c r="F54" i="4" s="1"/>
  <c r="E205" i="4"/>
  <c r="F205" i="4" s="1"/>
  <c r="E150" i="4"/>
  <c r="F150" i="4" s="1"/>
  <c r="E129" i="4"/>
  <c r="F129" i="4" s="1"/>
  <c r="G129" i="4" s="1"/>
  <c r="E152" i="4"/>
  <c r="F152" i="4" s="1"/>
  <c r="E52" i="4"/>
  <c r="F52" i="4" s="1"/>
  <c r="E72" i="4"/>
  <c r="F72" i="4" s="1"/>
  <c r="E41" i="4"/>
  <c r="F41" i="4" s="1"/>
  <c r="E94" i="4"/>
  <c r="F94" i="4" s="1"/>
  <c r="E140" i="4"/>
  <c r="F140" i="4" s="1"/>
  <c r="E47" i="4"/>
  <c r="F47" i="4" s="1"/>
  <c r="E28" i="4"/>
  <c r="F28" i="4" s="1"/>
  <c r="E80" i="4"/>
  <c r="F80" i="4" s="1"/>
  <c r="E119" i="4"/>
  <c r="F119" i="4" s="1"/>
  <c r="E34" i="4"/>
  <c r="F34" i="4" s="1"/>
  <c r="E69" i="4"/>
  <c r="F69" i="4" s="1"/>
  <c r="E96" i="4"/>
  <c r="F96" i="4" s="1"/>
  <c r="E31" i="4"/>
  <c r="F31" i="4" s="1"/>
  <c r="E132" i="4"/>
  <c r="F132" i="4" s="1"/>
  <c r="E113" i="4"/>
  <c r="F113" i="4" s="1"/>
  <c r="G113" i="4" s="1"/>
  <c r="E190" i="4"/>
  <c r="F190" i="4" s="1"/>
  <c r="E93" i="4"/>
  <c r="F93" i="4" s="1"/>
  <c r="E97" i="4"/>
  <c r="F97" i="4" s="1"/>
  <c r="E23" i="4"/>
  <c r="F23" i="4" s="1"/>
  <c r="E125" i="4"/>
  <c r="F125" i="4" s="1"/>
  <c r="E71" i="4"/>
  <c r="F71" i="4" s="1"/>
  <c r="E141" i="4"/>
  <c r="F141" i="4" s="1"/>
  <c r="G141" i="4" s="1"/>
  <c r="E165" i="4"/>
  <c r="F165" i="4" s="1"/>
  <c r="E37" i="4"/>
  <c r="F37" i="4" s="1"/>
  <c r="E154" i="4"/>
  <c r="F154" i="4" s="1"/>
  <c r="G154" i="4" s="1"/>
  <c r="E16" i="4"/>
  <c r="F16" i="4" s="1"/>
  <c r="E99" i="4"/>
  <c r="F99" i="4" s="1"/>
  <c r="E116" i="4"/>
  <c r="F116" i="4" s="1"/>
  <c r="E95" i="4"/>
  <c r="F95" i="4" s="1"/>
  <c r="E106" i="4"/>
  <c r="F106" i="4" s="1"/>
  <c r="E186" i="4"/>
  <c r="F186" i="4" s="1"/>
  <c r="E156" i="4"/>
  <c r="F156" i="4" s="1"/>
  <c r="E101" i="4"/>
  <c r="F101" i="4" s="1"/>
  <c r="E64" i="4"/>
  <c r="F64" i="4" s="1"/>
  <c r="E127" i="4"/>
  <c r="F127" i="4" s="1"/>
  <c r="G127" i="4" s="1"/>
  <c r="E55" i="4"/>
  <c r="F55" i="4" s="1"/>
  <c r="E175" i="4"/>
  <c r="F175" i="4" s="1"/>
  <c r="E115" i="4"/>
  <c r="F115" i="4" s="1"/>
  <c r="G115" i="4" s="1"/>
  <c r="E27" i="4"/>
  <c r="F27" i="4" s="1"/>
  <c r="E202" i="4"/>
  <c r="F202" i="4" s="1"/>
  <c r="E88" i="4"/>
  <c r="F88" i="4" s="1"/>
  <c r="E30" i="4"/>
  <c r="F30" i="4" s="1"/>
  <c r="E36" i="4"/>
  <c r="F36" i="4" s="1"/>
  <c r="E122" i="4"/>
  <c r="F122" i="4" s="1"/>
  <c r="E81" i="4"/>
  <c r="F81" i="4" s="1"/>
  <c r="E83" i="4"/>
  <c r="F83" i="4" s="1"/>
  <c r="E135" i="4"/>
  <c r="F135" i="4" s="1"/>
  <c r="E84" i="4"/>
  <c r="F84" i="4" s="1"/>
  <c r="E139" i="4"/>
  <c r="F139" i="4" s="1"/>
  <c r="E177" i="4"/>
  <c r="F177" i="4" s="1"/>
  <c r="E86" i="4"/>
  <c r="F86" i="4" s="1"/>
  <c r="E109" i="4"/>
  <c r="F109" i="4" s="1"/>
  <c r="E149" i="4"/>
  <c r="F149" i="4" s="1"/>
  <c r="E157" i="4"/>
  <c r="F157" i="4" s="1"/>
  <c r="E162" i="4"/>
  <c r="F162" i="4" s="1"/>
  <c r="E78" i="4"/>
  <c r="F78" i="4" s="1"/>
  <c r="E38" i="4"/>
  <c r="F38" i="4" s="1"/>
  <c r="E25" i="4"/>
  <c r="F25" i="4" s="1"/>
  <c r="E29" i="4"/>
  <c r="F29" i="4" s="1"/>
  <c r="E123" i="4"/>
  <c r="F123" i="4" s="1"/>
  <c r="G123" i="4" s="1"/>
  <c r="E60" i="4"/>
  <c r="F60" i="4" s="1"/>
  <c r="E18" i="4"/>
  <c r="F18" i="4" s="1"/>
  <c r="E32" i="4"/>
  <c r="F32" i="4" s="1"/>
  <c r="E51" i="4"/>
  <c r="F51" i="4" s="1"/>
  <c r="E79" i="4"/>
  <c r="F79" i="4" s="1"/>
  <c r="E77" i="4"/>
  <c r="F77" i="4" s="1"/>
  <c r="E117" i="4"/>
  <c r="F117" i="4" s="1"/>
  <c r="E191" i="4"/>
  <c r="F191" i="4" s="1"/>
  <c r="E137" i="4"/>
  <c r="F137" i="4" s="1"/>
  <c r="E188" i="4"/>
  <c r="F188" i="4" s="1"/>
  <c r="E102" i="4"/>
  <c r="F102" i="4" s="1"/>
  <c r="E65" i="4"/>
  <c r="F65" i="4" s="1"/>
  <c r="E169" i="4"/>
  <c r="F169" i="4" s="1"/>
  <c r="E121" i="4"/>
  <c r="F121" i="4" s="1"/>
  <c r="E45" i="4"/>
  <c r="F45" i="4" s="1"/>
  <c r="E74" i="4"/>
  <c r="F74" i="4" s="1"/>
  <c r="E35" i="4"/>
  <c r="F35" i="4" s="1"/>
  <c r="E48" i="4"/>
  <c r="F48" i="4" s="1"/>
  <c r="E144" i="4"/>
  <c r="F144" i="4" s="1"/>
  <c r="E166" i="4"/>
  <c r="F166" i="4" s="1"/>
  <c r="E66" i="4"/>
  <c r="F66" i="4" s="1"/>
  <c r="E179" i="4"/>
  <c r="F179" i="4" s="1"/>
  <c r="E172" i="4"/>
  <c r="F172" i="4" s="1"/>
  <c r="E201" i="4"/>
  <c r="F201" i="4" s="1"/>
  <c r="E56" i="4"/>
  <c r="F56" i="4" s="1"/>
  <c r="G65" i="4" s="1"/>
  <c r="E198" i="4"/>
  <c r="F198" i="4" s="1"/>
  <c r="E75" i="4"/>
  <c r="F75" i="4" s="1"/>
  <c r="E62" i="4"/>
  <c r="F62" i="4" s="1"/>
  <c r="E200" i="4"/>
  <c r="F200" i="4" s="1"/>
  <c r="E107" i="4"/>
  <c r="F107" i="4" s="1"/>
  <c r="E11" i="4"/>
  <c r="F11" i="4" s="1"/>
  <c r="E158" i="4"/>
  <c r="F158" i="4" s="1"/>
  <c r="E63" i="4"/>
  <c r="F63" i="4" s="1"/>
  <c r="E61" i="4"/>
  <c r="F61" i="4" s="1"/>
  <c r="E49" i="4"/>
  <c r="F49" i="4" s="1"/>
  <c r="E43" i="4"/>
  <c r="F43" i="4" s="1"/>
  <c r="E164" i="4"/>
  <c r="F164" i="4" s="1"/>
  <c r="E87" i="4"/>
  <c r="F87" i="4" s="1"/>
  <c r="E196" i="4"/>
  <c r="F196" i="4" s="1"/>
  <c r="E160" i="4"/>
  <c r="F160" i="4" s="1"/>
  <c r="E68" i="4"/>
  <c r="F68" i="4" s="1"/>
  <c r="G62" i="4" s="1"/>
  <c r="E155" i="4"/>
  <c r="F155" i="4" s="1"/>
  <c r="G155" i="4" s="1"/>
  <c r="E183" i="4"/>
  <c r="F183" i="4" s="1"/>
  <c r="E103" i="4"/>
  <c r="F103" i="4" s="1"/>
  <c r="E184" i="4"/>
  <c r="F184" i="4" s="1"/>
  <c r="E167" i="4"/>
  <c r="F167" i="4" s="1"/>
  <c r="E19" i="4"/>
  <c r="F19" i="4" s="1"/>
  <c r="E15" i="4"/>
  <c r="F15" i="4" s="1"/>
  <c r="E138" i="4"/>
  <c r="F138" i="4" s="1"/>
  <c r="E17" i="4"/>
  <c r="F17" i="4" s="1"/>
  <c r="E21" i="4"/>
  <c r="F21" i="4" s="1"/>
  <c r="E57" i="4"/>
  <c r="F57" i="4" s="1"/>
  <c r="E182" i="4"/>
  <c r="F182" i="4" s="1"/>
  <c r="E24" i="4"/>
  <c r="F24" i="4" s="1"/>
  <c r="E26" i="4"/>
  <c r="F26" i="4" s="1"/>
  <c r="E118" i="4"/>
  <c r="F118" i="4" s="1"/>
  <c r="E143" i="4"/>
  <c r="F143" i="4" s="1"/>
  <c r="G140" i="4" s="1"/>
  <c r="E76" i="4"/>
  <c r="F76" i="4" s="1"/>
  <c r="E58" i="4"/>
  <c r="F58" i="4" s="1"/>
  <c r="G55" i="4" s="1"/>
  <c r="E142" i="4"/>
  <c r="F142" i="4" s="1"/>
  <c r="E181" i="4"/>
  <c r="F181" i="4" s="1"/>
  <c r="E185" i="4"/>
  <c r="F185" i="4" s="1"/>
  <c r="E124" i="4"/>
  <c r="F124" i="4" s="1"/>
  <c r="G95" i="4" s="1"/>
  <c r="E133" i="4"/>
  <c r="F133" i="4" s="1"/>
  <c r="E126" i="4"/>
  <c r="F126" i="4" s="1"/>
  <c r="E90" i="4"/>
  <c r="F90" i="4" s="1"/>
  <c r="E13" i="4"/>
  <c r="F13" i="4" s="1"/>
  <c r="E180" i="4"/>
  <c r="F180" i="4" s="1"/>
  <c r="E204" i="4"/>
  <c r="F204" i="4" s="1"/>
  <c r="E104" i="4"/>
  <c r="F104" i="4" s="1"/>
  <c r="E20" i="4"/>
  <c r="F20" i="4" s="1"/>
  <c r="E134" i="4"/>
  <c r="F134" i="4" s="1"/>
  <c r="E108" i="4"/>
  <c r="F108" i="4" s="1"/>
  <c r="E46" i="4"/>
  <c r="F46" i="4" s="1"/>
  <c r="E33" i="4"/>
  <c r="F33" i="4" s="1"/>
  <c r="E53" i="4"/>
  <c r="F53" i="4" s="1"/>
  <c r="E207" i="4"/>
  <c r="F207" i="4" s="1"/>
  <c r="G207" i="4" s="1"/>
  <c r="E131" i="4"/>
  <c r="F131" i="4" s="1"/>
  <c r="E100" i="4"/>
  <c r="F100" i="4" s="1"/>
  <c r="G47" i="4" s="1"/>
  <c r="E73" i="4"/>
  <c r="F73" i="4" s="1"/>
  <c r="G54" i="4" s="1"/>
  <c r="E151" i="4"/>
  <c r="F151" i="4" s="1"/>
  <c r="E163" i="4"/>
  <c r="F163" i="4" s="1"/>
  <c r="E161" i="4"/>
  <c r="F161" i="4" s="1"/>
  <c r="G159" i="4" s="1"/>
  <c r="E120" i="4"/>
  <c r="F120" i="4" s="1"/>
  <c r="G120" i="4" s="1"/>
  <c r="E22" i="4"/>
  <c r="F22" i="4" s="1"/>
  <c r="E187" i="4"/>
  <c r="F187" i="4" s="1"/>
  <c r="E195" i="4"/>
  <c r="F195" i="4" s="1"/>
  <c r="E203" i="4"/>
  <c r="F203" i="4" s="1"/>
  <c r="E85" i="4"/>
  <c r="F85" i="4" s="1"/>
  <c r="E12" i="4"/>
  <c r="F12" i="4" s="1"/>
  <c r="E192" i="4"/>
  <c r="F192" i="4" s="1"/>
  <c r="E89" i="4"/>
  <c r="F89" i="4" s="1"/>
  <c r="E173" i="4"/>
  <c r="F173" i="4" s="1"/>
  <c r="E50" i="4"/>
  <c r="F50" i="4" s="1"/>
  <c r="E136" i="4"/>
  <c r="F136" i="4" s="1"/>
  <c r="E170" i="4"/>
  <c r="F170" i="4" s="1"/>
  <c r="E153" i="4"/>
  <c r="F153" i="4" s="1"/>
  <c r="G153" i="4" s="1"/>
  <c r="E145" i="4"/>
  <c r="F145" i="4" s="1"/>
  <c r="G145" i="4" s="1"/>
  <c r="E194" i="4"/>
  <c r="F194" i="4" s="1"/>
  <c r="E98" i="4"/>
  <c r="F98" i="4" s="1"/>
  <c r="E111" i="4"/>
  <c r="F111" i="4" s="1"/>
  <c r="E206" i="4"/>
  <c r="F206" i="4" s="1"/>
  <c r="E176" i="4"/>
  <c r="F176" i="4" s="1"/>
  <c r="E92" i="4"/>
  <c r="F92" i="4" s="1"/>
  <c r="E128" i="4"/>
  <c r="F128" i="4" s="1"/>
  <c r="G128" i="4" s="1"/>
  <c r="E112" i="4"/>
  <c r="F112" i="4" s="1"/>
  <c r="G112" i="4" s="1"/>
  <c r="E193" i="4"/>
  <c r="F193" i="4" s="1"/>
  <c r="G191" i="4" s="1"/>
  <c r="E197" i="4"/>
  <c r="F197" i="4" s="1"/>
  <c r="E105" i="4"/>
  <c r="F105" i="4" s="1"/>
  <c r="E114" i="4"/>
  <c r="F114" i="4" s="1"/>
  <c r="G114" i="4" s="1"/>
  <c r="E189" i="4"/>
  <c r="F189" i="4" s="1"/>
  <c r="E174" i="4"/>
  <c r="F174" i="4" s="1"/>
  <c r="E148" i="4"/>
  <c r="F148" i="4" s="1"/>
  <c r="G152" i="4" s="1"/>
  <c r="E130" i="4"/>
  <c r="F130" i="4" s="1"/>
  <c r="G132" i="4" s="1"/>
  <c r="E178" i="4"/>
  <c r="F178" i="4" s="1"/>
  <c r="G180" i="4" s="1"/>
  <c r="D150" i="5"/>
  <c r="O11" i="3"/>
  <c r="M13"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M11"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11" i="3"/>
  <c r="H11"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12" i="3"/>
  <c r="H13" i="3"/>
  <c r="H14" i="3"/>
  <c r="H15" i="3"/>
  <c r="H16" i="3"/>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20"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G199" i="4" l="1"/>
  <c r="G162" i="4"/>
  <c r="G23" i="4"/>
  <c r="G32" i="4"/>
  <c r="G138" i="4"/>
  <c r="G92" i="4"/>
  <c r="G20" i="4"/>
  <c r="G50" i="4"/>
  <c r="G61" i="4"/>
  <c r="G201" i="4"/>
  <c r="G150" i="4"/>
  <c r="G167" i="4"/>
  <c r="G30" i="4"/>
  <c r="G33" i="4"/>
  <c r="G143" i="4"/>
  <c r="G42" i="4"/>
  <c r="G161" i="4"/>
  <c r="G133" i="4"/>
  <c r="G183" i="4"/>
  <c r="G76" i="4"/>
  <c r="G198" i="4"/>
  <c r="G66" i="4"/>
  <c r="G197" i="4"/>
  <c r="G21" i="4"/>
  <c r="G89" i="4"/>
  <c r="G108" i="4"/>
  <c r="G130" i="4"/>
  <c r="G156" i="4"/>
  <c r="G58" i="4"/>
  <c r="G139" i="4"/>
  <c r="G75" i="4"/>
  <c r="G173" i="4"/>
  <c r="G142" i="4"/>
  <c r="G204" i="4"/>
  <c r="G68" i="4"/>
  <c r="G44" i="4"/>
  <c r="G200" i="4"/>
  <c r="G87" i="4"/>
  <c r="G14" i="4"/>
  <c r="G100" i="4"/>
  <c r="G106" i="4"/>
  <c r="G170" i="4"/>
  <c r="G48" i="4"/>
  <c r="G119" i="4"/>
  <c r="G40" i="4"/>
  <c r="G160" i="4"/>
  <c r="G28" i="4"/>
  <c r="G38" i="4"/>
  <c r="G135" i="4"/>
  <c r="G22" i="4"/>
  <c r="G149" i="4"/>
  <c r="G36" i="4"/>
  <c r="G29" i="4"/>
  <c r="G45" i="4"/>
  <c r="G146" i="4"/>
  <c r="G13" i="4"/>
  <c r="G163" i="4"/>
  <c r="G203" i="4"/>
  <c r="G193" i="4"/>
  <c r="G148" i="4"/>
  <c r="G171" i="4"/>
  <c r="G181" i="4"/>
  <c r="G60" i="4"/>
  <c r="G182" i="4"/>
  <c r="G185" i="4"/>
  <c r="G168" i="4"/>
  <c r="G134" i="4"/>
  <c r="G79" i="4"/>
  <c r="G206" i="4"/>
  <c r="G46" i="4"/>
  <c r="G19" i="4"/>
  <c r="G15" i="4"/>
  <c r="G195" i="4"/>
  <c r="G80" i="4"/>
  <c r="G104" i="4"/>
  <c r="G35" i="4"/>
  <c r="G189" i="4"/>
  <c r="G103" i="4"/>
  <c r="G72" i="4"/>
  <c r="G16" i="4"/>
  <c r="G51" i="4"/>
  <c r="G39" i="4"/>
  <c r="G73" i="4"/>
  <c r="G52" i="4"/>
  <c r="G81" i="4"/>
  <c r="G178" i="4"/>
  <c r="G84" i="4"/>
  <c r="G71" i="4"/>
  <c r="G18" i="4"/>
  <c r="G97" i="4"/>
  <c r="G179" i="4"/>
  <c r="G190" i="4"/>
  <c r="G57" i="4"/>
  <c r="G126" i="4"/>
  <c r="G85" i="4"/>
  <c r="G122" i="4"/>
  <c r="G102" i="4"/>
  <c r="G184" i="4"/>
  <c r="G83" i="4"/>
  <c r="G67" i="4"/>
  <c r="G187" i="4"/>
  <c r="G59" i="4"/>
  <c r="G91" i="4"/>
  <c r="G12" i="4"/>
  <c r="G27" i="4"/>
  <c r="G26" i="4"/>
  <c r="G196" i="4"/>
  <c r="G151" i="4"/>
  <c r="G188" i="4"/>
  <c r="G110" i="4"/>
  <c r="G11" i="4"/>
  <c r="G144" i="4"/>
  <c r="G82" i="4"/>
  <c r="G186" i="4"/>
  <c r="G17" i="4"/>
  <c r="G56" i="4"/>
  <c r="G174" i="4"/>
  <c r="G137" i="4"/>
  <c r="G49" i="4"/>
  <c r="G64" i="4"/>
  <c r="G121" i="4"/>
  <c r="G77" i="4"/>
  <c r="G175" i="4"/>
  <c r="G78" i="4"/>
  <c r="G124" i="4"/>
  <c r="G107" i="4"/>
  <c r="G105" i="4"/>
  <c r="G131" i="4"/>
  <c r="G43" i="4"/>
  <c r="G177" i="4"/>
  <c r="G94" i="4"/>
  <c r="G34" i="4"/>
  <c r="G172" i="4"/>
  <c r="G205" i="4"/>
  <c r="G31" i="4"/>
  <c r="G98" i="4"/>
  <c r="G63" i="4"/>
  <c r="G24" i="4"/>
  <c r="G192" i="4"/>
  <c r="G53" i="4"/>
  <c r="G117" i="4"/>
  <c r="G166" i="4"/>
  <c r="G147" i="4"/>
  <c r="G41" i="4"/>
  <c r="G111" i="4"/>
  <c r="G176" i="4"/>
  <c r="G109" i="4"/>
  <c r="G164" i="4"/>
  <c r="G37" i="4"/>
  <c r="G74" i="4"/>
  <c r="G136" i="4"/>
  <c r="G70" i="4"/>
  <c r="G169" i="4"/>
  <c r="G96" i="4"/>
  <c r="G101" i="4"/>
  <c r="G25" i="4"/>
  <c r="G194" i="4"/>
  <c r="G202" i="4"/>
  <c r="G99" i="4"/>
  <c r="G86" i="4"/>
  <c r="G69" i="4"/>
  <c r="G88" i="4"/>
  <c r="G165" i="4"/>
  <c r="G90" i="4"/>
  <c r="G116" i="4"/>
  <c r="G93" i="4"/>
  <c r="G157" i="4"/>
  <c r="G118" i="4"/>
  <c r="G158" i="4"/>
  <c r="G125" i="4"/>
</calcChain>
</file>

<file path=xl/sharedStrings.xml><?xml version="1.0" encoding="utf-8"?>
<sst xmlns="http://schemas.openxmlformats.org/spreadsheetml/2006/main" count="1758" uniqueCount="562">
  <si>
    <t>TD2 : Relation linéaire entre deux variables quantitatives</t>
  </si>
  <si>
    <t>Statistique L2S1</t>
  </si>
  <si>
    <t>Exercice 1</t>
  </si>
  <si>
    <t>Suivre les instructions indiquées sur la feuille F2</t>
  </si>
  <si>
    <t>Exercice 2</t>
  </si>
  <si>
    <t>Sur la feuille F3</t>
  </si>
  <si>
    <t>2.1 Faire le nuage de points pour chacun des couples de variables (POP-EMPLOIS, POP-TXCHOM, EMPLOIS-TXCHOM)</t>
  </si>
  <si>
    <t>2.2 Formuler pour chaque graphique l'hypothèse correspondante (le facteur X explique le facteur Y)</t>
  </si>
  <si>
    <t>2.3 Quel type de relation ces graphiques montrent-ils ?</t>
  </si>
  <si>
    <t>Hypothèse</t>
  </si>
  <si>
    <t>Type de relation</t>
  </si>
  <si>
    <t>POP-EMPLOIS</t>
  </si>
  <si>
    <t>POP-TXCHOM</t>
  </si>
  <si>
    <t>EMPLOIS-TXCHOM</t>
  </si>
  <si>
    <t>Exercice 3</t>
  </si>
  <si>
    <t>Étudier la relation entre CANCER TOTAL et CANCER DE LA PROSTATE</t>
  </si>
  <si>
    <t xml:space="preserve">3.2 Tracer la droite de régression, afficher l’équation et le coefficient de détermination </t>
  </si>
  <si>
    <t>3.3 Détecter et éliminer la valeur exceptionnelle (outliers) qui biaise la droite</t>
  </si>
  <si>
    <t>3.4 Recalculer la droite de régression et le coefficient de détermination</t>
  </si>
  <si>
    <t>3.5 Il n’y a pas de valeur pour la Corée du Nord (PRK), faire une estimation du nombre morts dues au cancer de la prostate pour ce pays</t>
  </si>
  <si>
    <t>3.6 Proposer une explication au cas particulier de la Chine (CHN)</t>
  </si>
  <si>
    <t>3.7 Proposer une explication au cas particulier des petites îles des Caraïbes (DMA, VCT, ATG, LCA, BRB, etc.)</t>
  </si>
  <si>
    <t>3.8 Sachant la situation de ces îles, que peut-on en déduire pour les îles françaises (Martinique, Guadeloupe) ?</t>
  </si>
  <si>
    <t>Exercice 4</t>
  </si>
  <si>
    <t>Sur la feuille F4</t>
  </si>
  <si>
    <t>4.1 Faire un nuage de point mettant en relation l'espérance de vie féminine (variable X, en abscisse) et l'espérance de vie masculine (Y, en ordonnée)</t>
  </si>
  <si>
    <t>4.2 Tracer la droite de régression et faire apparaître l'équation de cette droite ainsi que le coefficient de détermination</t>
  </si>
  <si>
    <t>4.3 Calculer les valeurs prédites par le modèle de régression</t>
  </si>
  <si>
    <t>4.4 Calculer les résidus bruts et les nommer "RB"</t>
  </si>
  <si>
    <t>4.5 Calculer les résidus relatifs et nommer cette variable "RR" (les multiplier par 100, ou les présenter sous forme de pourcentages)</t>
  </si>
  <si>
    <t>4.6 Trier les données selon la variable RB (résidus bruts)</t>
  </si>
  <si>
    <t xml:space="preserve">      Quels sont les 5 pays où les résidus bruts sont les plus forts ? Les plus faibles ?</t>
  </si>
  <si>
    <t>Résidus les plus faibles</t>
  </si>
  <si>
    <t>Résidus les plus forts</t>
  </si>
  <si>
    <t>4.7 Trier les données selon la variable RR (résidus relatifs)</t>
  </si>
  <si>
    <t>Exercice 5</t>
  </si>
  <si>
    <t>5.1 Importer les données d'espérance de vie avec les résidues de régression dans Magrit</t>
  </si>
  <si>
    <t>LEB_M</t>
  </si>
  <si>
    <t>Espérance de vie masculine</t>
  </si>
  <si>
    <t>LEB_F</t>
  </si>
  <si>
    <t>Espérance de vie féminine</t>
  </si>
  <si>
    <t>RB</t>
  </si>
  <si>
    <t>Résidus bruts</t>
  </si>
  <si>
    <t>RR</t>
  </si>
  <si>
    <t>Résidus relatifs</t>
  </si>
  <si>
    <t>5.2 Cartographier les résidus bruts et les résidus relatifs</t>
  </si>
  <si>
    <t>Exercices sur les foncions linéaires et leur représentation graphique</t>
  </si>
  <si>
    <t>Calculer les variables Y (de Y1 à Y7) en suivant les instructions ci-dessous</t>
  </si>
  <si>
    <t>Faire le nuage de points mettant en relation la variable X avec les variables Y successivement (X-Y1 ; X-Y2 ; etc.)</t>
  </si>
  <si>
    <t>De Y1 à Y4 fonctions linéaires de la forme y = ax + b</t>
  </si>
  <si>
    <t>De Y5 à Y7 : fonctions non linéaires</t>
  </si>
  <si>
    <t>Y1</t>
  </si>
  <si>
    <t>a = 1 et b = 0</t>
  </si>
  <si>
    <t>Y2</t>
  </si>
  <si>
    <t>a = 2 et b = 0</t>
  </si>
  <si>
    <t>Y3</t>
  </si>
  <si>
    <t>a = 3 et b = 0</t>
  </si>
  <si>
    <t>Y4</t>
  </si>
  <si>
    <t>a = 2 et b = 50</t>
  </si>
  <si>
    <t>Y5</t>
  </si>
  <si>
    <t>fonction carré</t>
  </si>
  <si>
    <t>Y6</t>
  </si>
  <si>
    <t>fonction inverse</t>
  </si>
  <si>
    <t>Y7</t>
  </si>
  <si>
    <t>fonction racine</t>
  </si>
  <si>
    <t>CODE</t>
  </si>
  <si>
    <t>X</t>
  </si>
  <si>
    <t>OBS01</t>
  </si>
  <si>
    <t>OBS02</t>
  </si>
  <si>
    <t>OBS03</t>
  </si>
  <si>
    <t>OBS04</t>
  </si>
  <si>
    <t>OBS05</t>
  </si>
  <si>
    <t>OBS06</t>
  </si>
  <si>
    <t>OBS07</t>
  </si>
  <si>
    <t>OBS08</t>
  </si>
  <si>
    <t>OBS09</t>
  </si>
  <si>
    <t>OBS10</t>
  </si>
  <si>
    <t>OBS11</t>
  </si>
  <si>
    <t>OBS12</t>
  </si>
  <si>
    <t>OBS13</t>
  </si>
  <si>
    <t>OBS14</t>
  </si>
  <si>
    <t>OBS15</t>
  </si>
  <si>
    <t>OBS16</t>
  </si>
  <si>
    <t>OBS17</t>
  </si>
  <si>
    <t>OBS18</t>
  </si>
  <si>
    <t>OBS19</t>
  </si>
  <si>
    <t>OBS20</t>
  </si>
  <si>
    <t>OBS21</t>
  </si>
  <si>
    <t>OBS22</t>
  </si>
  <si>
    <t>OBS23</t>
  </si>
  <si>
    <t>OBS24</t>
  </si>
  <si>
    <t>OBS25</t>
  </si>
  <si>
    <t>OBS26</t>
  </si>
  <si>
    <t>OBS27</t>
  </si>
  <si>
    <t>OBS28</t>
  </si>
  <si>
    <t>OBS29</t>
  </si>
  <si>
    <t>OBS30</t>
  </si>
  <si>
    <t>Cancer de la prostate dans les pays du monde</t>
  </si>
  <si>
    <t>Source : Global Burden of Disease</t>
  </si>
  <si>
    <t>ISO3</t>
  </si>
  <si>
    <t>Code pays ISO à 3 caractères</t>
  </si>
  <si>
    <t>C_TOTAL</t>
  </si>
  <si>
    <t>Nombre de morts dues au cancer tous cancers confondus</t>
  </si>
  <si>
    <t>C_PROSTATE</t>
  </si>
  <si>
    <t>Nombre de morts dues au cancer de la prostate</t>
  </si>
  <si>
    <t>Avertissement : il ne s’agit pas d’un nombre de morts enregistrées mais d’un nombre de morts estimées par des modèles, ce qui explique que les valeurs ne sont pas des entiers.</t>
  </si>
  <si>
    <t>NAME</t>
  </si>
  <si>
    <t>AFG</t>
  </si>
  <si>
    <t>Afghanistan</t>
  </si>
  <si>
    <t>AGO</t>
  </si>
  <si>
    <t>Angola</t>
  </si>
  <si>
    <t>ALB</t>
  </si>
  <si>
    <t>Albania</t>
  </si>
  <si>
    <t>AND</t>
  </si>
  <si>
    <t>Andorra</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</si>
  <si>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</si>
  <si>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</si>
  <si>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</si>
  <si>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</si>
  <si>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</si>
  <si>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</si>
  <si>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</si>
  <si>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</si>
  <si>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</si>
  <si>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</si>
  <si>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</si>
  <si>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</si>
  <si>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</si>
  <si>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</si>
  <si>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</si>
  <si>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</si>
  <si>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</si>
  <si>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</si>
  <si>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</si>
  <si>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</si>
  <si>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</si>
  <si>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</si>
  <si>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</si>
  <si>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</si>
  <si>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</si>
  <si>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</si>
  <si>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</si>
  <si>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</si>
  <si>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</si>
  <si>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</si>
  <si>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</si>
  <si>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</si>
  <si>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</si>
  <si>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</si>
  <si>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</si>
  <si>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</si>
  <si>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BOL</t>
  </si>
  <si>
    <t>Bolivia (Plurinational State of)</t>
  </si>
  <si>
    <t>BRA</t>
  </si>
  <si>
    <t>Brazil</t>
  </si>
  <si>
    <t>BRB</t>
  </si>
  <si>
    <t>Barbados</t>
  </si>
  <si>
    <t>BRN</t>
  </si>
  <si>
    <t>Brunei Darussalam</t>
  </si>
  <si>
    <t>BTN</t>
  </si>
  <si>
    <t>Bhutan</t>
  </si>
  <si>
    <t>BWA</t>
  </si>
  <si>
    <t>Botswana</t>
  </si>
  <si>
    <t>CAF</t>
  </si>
  <si>
    <t>Central African Republic</t>
  </si>
  <si>
    <t>CAN</t>
  </si>
  <si>
    <t>Canada</t>
  </si>
  <si>
    <t>CHE</t>
  </si>
  <si>
    <t>Switzerland</t>
  </si>
  <si>
    <t>CHL</t>
  </si>
  <si>
    <t>Chile</t>
  </si>
  <si>
    <t>CHN</t>
  </si>
  <si>
    <t>China</t>
  </si>
  <si>
    <t>CIV</t>
  </si>
  <si>
    <t>Côte d'Ivoire</t>
  </si>
  <si>
    <t>CMR</t>
  </si>
  <si>
    <t>Cameroon</t>
  </si>
  <si>
    <t>COD</t>
  </si>
  <si>
    <t>Democratic Republic of the Congo</t>
  </si>
  <si>
    <t>COG</t>
  </si>
  <si>
    <t>Congo</t>
  </si>
  <si>
    <t>COL</t>
  </si>
  <si>
    <t>Colombia</t>
  </si>
  <si>
    <t>COM</t>
  </si>
  <si>
    <t>Comoros</t>
  </si>
  <si>
    <t>CPV</t>
  </si>
  <si>
    <t>Cabo Verde</t>
  </si>
  <si>
    <t>CRI</t>
  </si>
  <si>
    <t>Costa Rica</t>
  </si>
  <si>
    <t>CUB</t>
  </si>
  <si>
    <t>Cuba</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</si>
  <si>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</si>
  <si>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</si>
  <si>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</si>
  <si>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</si>
  <si>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</si>
  <si>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</si>
  <si>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</si>
  <si>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</si>
  <si>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</si>
  <si>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</si>
  <si>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</si>
  <si>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</si>
  <si>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</si>
  <si>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</si>
  <si>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</si>
  <si>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</si>
  <si>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</si>
  <si>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</si>
  <si>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</si>
  <si>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</si>
  <si>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</si>
  <si>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</si>
  <si>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ESP</t>
  </si>
  <si>
    <t>Spain</t>
  </si>
  <si>
    <t>EST</t>
  </si>
  <si>
    <t>Estonia</t>
  </si>
  <si>
    <t>ETH</t>
  </si>
  <si>
    <t>Ethiopia</t>
  </si>
  <si>
    <t>FIN</t>
  </si>
  <si>
    <t>Finland</t>
  </si>
  <si>
    <t>FJI</t>
  </si>
  <si>
    <t>Fiji</t>
  </si>
  <si>
    <t>FRA</t>
  </si>
  <si>
    <t>France</t>
  </si>
  <si>
    <t>GAB</t>
  </si>
  <si>
    <t>Gabon</t>
  </si>
  <si>
    <t>GBR</t>
  </si>
  <si>
    <t>United Kingdom</t>
  </si>
  <si>
    <t>GEO</t>
  </si>
  <si>
    <t>Georgia</t>
  </si>
  <si>
    <t>GHA</t>
  </si>
  <si>
    <t>Ghana</t>
  </si>
  <si>
    <t>GIN</t>
  </si>
  <si>
    <t>Guinea</t>
  </si>
  <si>
    <t>GMB</t>
  </si>
  <si>
    <t>Gambia</t>
  </si>
  <si>
    <t>GNB</t>
  </si>
  <si>
    <t>Guinea-Bissau</t>
  </si>
  <si>
    <t>GNQ</t>
  </si>
  <si>
    <t>Equatorial Guinea</t>
  </si>
  <si>
    <t>GRC</t>
  </si>
  <si>
    <t>Greece</t>
  </si>
  <si>
    <t>GRD</t>
  </si>
  <si>
    <t>Grenada</t>
  </si>
  <si>
    <t>GTM</t>
  </si>
  <si>
    <t>Guatemala</t>
  </si>
  <si>
    <t>GUY</t>
  </si>
  <si>
    <t>Guyana</t>
  </si>
  <si>
    <t>HND</t>
  </si>
  <si>
    <t>Honduras</t>
  </si>
  <si>
    <t>HRV</t>
  </si>
  <si>
    <t>Croatia</t>
  </si>
  <si>
    <t>HTI</t>
  </si>
  <si>
    <t>Haiti</t>
  </si>
  <si>
    <t>HUN</t>
  </si>
  <si>
    <t>Hungary</t>
  </si>
  <si>
    <t>IDN</t>
  </si>
  <si>
    <t>Indonesia</t>
  </si>
  <si>
    <t>IND</t>
  </si>
  <si>
    <t>India</t>
  </si>
  <si>
    <t>IRL</t>
  </si>
  <si>
    <t>Ireland</t>
  </si>
  <si>
    <t>IRN</t>
  </si>
  <si>
    <t>Iran (Islamic Republic of)</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</si>
  <si>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</si>
  <si>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</si>
  <si>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</si>
  <si>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</si>
  <si>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</si>
  <si>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</si>
  <si>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</si>
  <si>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</si>
  <si>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</si>
  <si>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</si>
  <si>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</si>
  <si>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</si>
  <si>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</si>
  <si>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</si>
  <si>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</si>
  <si>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</si>
  <si>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</si>
  <si>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</si>
  <si>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</si>
  <si>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</si>
  <si>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</si>
  <si>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</si>
  <si>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KNA</t>
  </si>
  <si>
    <t>Saint Kitts and Nevis</t>
  </si>
  <si>
    <t>KOR</t>
  </si>
  <si>
    <t>Republic of Korea</t>
  </si>
  <si>
    <t>KWT</t>
  </si>
  <si>
    <t>Kuwait</t>
  </si>
  <si>
    <t>LAO</t>
  </si>
  <si>
    <t>Lao People's Democratic Republic</t>
  </si>
  <si>
    <t>LBN</t>
  </si>
  <si>
    <t>Lebanon</t>
  </si>
  <si>
    <t>LBR</t>
  </si>
  <si>
    <t>Liberia</t>
  </si>
  <si>
    <t>LBY</t>
  </si>
  <si>
    <t>Libya</t>
  </si>
  <si>
    <t>LCA</t>
  </si>
  <si>
    <t>Saint Lucia</t>
  </si>
  <si>
    <t>LKA</t>
  </si>
  <si>
    <t>Sri Lanka</t>
  </si>
  <si>
    <t>LSO</t>
  </si>
  <si>
    <t>Lesotho</t>
  </si>
  <si>
    <t>LTU</t>
  </si>
  <si>
    <t>Lithuania</t>
  </si>
  <si>
    <t>LUX</t>
  </si>
  <si>
    <t>Luxembourg</t>
  </si>
  <si>
    <t>LVA</t>
  </si>
  <si>
    <t>Latvia</t>
  </si>
  <si>
    <t>MAR</t>
  </si>
  <si>
    <t>Morocco</t>
  </si>
  <si>
    <t>MCO</t>
  </si>
  <si>
    <t>Monaco</t>
  </si>
  <si>
    <t>MDA</t>
  </si>
  <si>
    <t>Republic of Moldova</t>
  </si>
  <si>
    <t>MDG</t>
  </si>
  <si>
    <t>Madagascar</t>
  </si>
  <si>
    <t>MDV</t>
  </si>
  <si>
    <t>Maldives</t>
  </si>
  <si>
    <t>MEX</t>
  </si>
  <si>
    <t>Mexico</t>
  </si>
  <si>
    <t>MHL</t>
  </si>
  <si>
    <t>Marshall Islands</t>
  </si>
  <si>
    <t>MKD</t>
  </si>
  <si>
    <t>North Macedonia</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</si>
  <si>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</si>
  <si>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</si>
  <si>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</si>
  <si>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</si>
  <si>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</si>
  <si>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</si>
  <si>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</si>
  <si>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</si>
  <si>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</si>
  <si>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</si>
  <si>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</si>
  <si>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</si>
  <si>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</si>
  <si>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</si>
  <si>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</si>
  <si>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</si>
  <si>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</si>
  <si>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</si>
  <si>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</si>
  <si>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</si>
  <si>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</si>
  <si>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</si>
  <si>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</si>
  <si>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</si>
  <si>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</si>
  <si>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</si>
  <si>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</si>
  <si>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</si>
  <si>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</si>
  <si>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</si>
  <si>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</si>
  <si>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</si>
  <si>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</si>
  <si>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</si>
  <si>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</si>
  <si>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</si>
  <si>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</si>
  <si>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</si>
  <si>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</si>
  <si>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</si>
  <si>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</si>
  <si>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</si>
  <si>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</si>
  <si>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</si>
  <si>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</si>
  <si>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</si>
  <si>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</si>
  <si>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</si>
  <si>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</si>
  <si>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</si>
  <si>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</si>
  <si>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</si>
  <si>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</si>
  <si>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</si>
  <si>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</si>
  <si>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</si>
  <si>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</si>
  <si>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Democratic People's Republic of Korea</t>
  </si>
  <si>
    <t>PRT</t>
  </si>
  <si>
    <t>Portugal</t>
  </si>
  <si>
    <t>PRY</t>
  </si>
  <si>
    <t>Paraguay</t>
  </si>
  <si>
    <t>PSE</t>
  </si>
  <si>
    <t>Palestine</t>
  </si>
  <si>
    <t>QAT</t>
  </si>
  <si>
    <t>Qatar</t>
  </si>
  <si>
    <t>ROU</t>
  </si>
  <si>
    <t>Romania</t>
  </si>
  <si>
    <t>RUS</t>
  </si>
  <si>
    <t>Russian Federation</t>
  </si>
  <si>
    <t>RWA</t>
  </si>
  <si>
    <t>Rwanda</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</si>
  <si>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</si>
  <si>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</si>
  <si>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</si>
  <si>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</si>
  <si>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</si>
  <si>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</si>
  <si>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</si>
  <si>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</si>
  <si>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</si>
  <si>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</si>
  <si>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</si>
  <si>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</si>
  <si>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</si>
  <si>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</si>
  <si>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</si>
  <si>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</si>
  <si>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</si>
  <si>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</si>
  <si>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</si>
  <si>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</si>
  <si>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SSD</t>
  </si>
  <si>
    <t>South Sudan</t>
  </si>
  <si>
    <t>STP</t>
  </si>
  <si>
    <t>Sao Tome and Principe</t>
  </si>
  <si>
    <t>SUR</t>
  </si>
  <si>
    <t>Suriname</t>
  </si>
  <si>
    <t>SVK</t>
  </si>
  <si>
    <t>Slovakia</t>
  </si>
  <si>
    <t>SVN</t>
  </si>
  <si>
    <t>Slovenia</t>
  </si>
  <si>
    <t>SWE</t>
  </si>
  <si>
    <t>Sweden</t>
  </si>
  <si>
    <t>SWZ</t>
  </si>
  <si>
    <t>Eswatini</t>
  </si>
  <si>
    <t>SYC</t>
  </si>
  <si>
    <t>Seychelles</t>
  </si>
  <si>
    <t>SYR</t>
  </si>
  <si>
    <t>Syrian Arab Republic</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</si>
  <si>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</si>
  <si>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</si>
  <si>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</si>
  <si>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</si>
  <si>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</si>
  <si>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</si>
  <si>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</si>
  <si>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</si>
  <si>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</si>
  <si>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</si>
  <si>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</si>
  <si>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</si>
  <si>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</si>
  <si>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</si>
  <si>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</si>
  <si>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</si>
  <si>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</si>
  <si>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</si>
  <si>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</si>
  <si>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Turkey</t>
  </si>
  <si>
    <t>TWN</t>
  </si>
  <si>
    <t>Taiwan (Province of China)</t>
  </si>
  <si>
    <t>TZA</t>
  </si>
  <si>
    <t>United Republic of Tanzania</t>
  </si>
  <si>
    <t>UGA</t>
  </si>
  <si>
    <t>Uganda</t>
  </si>
  <si>
    <t>UKR</t>
  </si>
  <si>
    <t>Ukraine</t>
  </si>
  <si>
    <t>URY</t>
  </si>
  <si>
    <t>Uruguay</t>
  </si>
  <si>
    <t>USA</t>
  </si>
  <si>
    <t>United States of America</t>
  </si>
  <si>
    <t>UZB</t>
  </si>
  <si>
    <t>Uzbekistan</t>
  </si>
  <si>
    <t>VCT</t>
  </si>
  <si>
    <t>Saint Vincent and the Grenadines</t>
  </si>
  <si>
    <t>VEN</t>
  </si>
  <si>
    <t>Venezuela (Bolivarian Republic of)</t>
  </si>
  <si>
    <t>VNM</t>
  </si>
  <si>
    <t>Viet Nam</t>
  </si>
  <si>
    <t>VUT</t>
  </si>
  <si>
    <t>Vanuatu</t>
  </si>
  <si>
    <t>YEM</t>
  </si>
  <si>
    <t>Yemen</t>
  </si>
  <si>
    <t>ZAF</t>
  </si>
  <si>
    <t>South Africa</t>
  </si>
  <si>
    <t>ZMB</t>
  </si>
  <si>
    <t>Zambia</t>
  </si>
  <si>
    <t>ZWE</t>
  </si>
  <si>
    <t>Zimbabwe</t>
  </si>
  <si>
    <t>Espérance de vie dans les pays du monde (2018)</t>
  </si>
  <si>
    <t>Source : Banque Mondiale</t>
  </si>
  <si>
    <t>LEB_H</t>
  </si>
  <si>
    <t>Espérance de vie à la naissance (Life Expectancy at Birth) pour les hommes</t>
  </si>
  <si>
    <t>Espérance de vie à la naissance (Life Expectancy at Birth) pour les femmes</t>
  </si>
  <si>
    <t>Bahamas, The</t>
  </si>
  <si>
    <t>Bolivia</t>
  </si>
  <si>
    <t>Cote d'Ivoire</t>
  </si>
  <si>
    <t>Congo, Dem. Rep.</t>
  </si>
  <si>
    <t>Congo, Rep.</t>
  </si>
  <si>
    <t>Egypt, Arab Rep.</t>
  </si>
  <si>
    <t>FRO</t>
  </si>
  <si>
    <t>Faroe Islands</t>
  </si>
  <si>
    <t>FSM</t>
  </si>
  <si>
    <t>Micronesia, Fed. Sts.</t>
  </si>
  <si>
    <t>Gambia, The</t>
  </si>
  <si>
    <t>GRL</t>
  </si>
  <si>
    <t>Greenland</t>
  </si>
  <si>
    <t>HKG</t>
  </si>
  <si>
    <t>Hong Kong SAR, China</t>
  </si>
  <si>
    <t>IMN</t>
  </si>
  <si>
    <t>Isle of Man</t>
  </si>
  <si>
    <t>Iran, Islamic Rep.</t>
  </si>
  <si>
    <t>Kyrgyz Republic</t>
  </si>
  <si>
    <t>KIR</t>
  </si>
  <si>
    <t>Kiribati</t>
  </si>
  <si>
    <t>St. Kitts and Nevis</t>
  </si>
  <si>
    <t>Korea, Rep.</t>
  </si>
  <si>
    <t>Lao PDR</t>
  </si>
  <si>
    <t>St. Lucia</t>
  </si>
  <si>
    <t>LIE</t>
  </si>
  <si>
    <t>Liechtenstein</t>
  </si>
  <si>
    <t>MAC</t>
  </si>
  <si>
    <t>Macao SAR, China</t>
  </si>
  <si>
    <t>Moldova</t>
  </si>
  <si>
    <t>NCL</t>
  </si>
  <si>
    <t>New Caledonia</t>
  </si>
  <si>
    <t>Korea, Dem. People's Rep.</t>
  </si>
  <si>
    <t>West Bank and Gaza</t>
  </si>
  <si>
    <t>Slovak Republic</t>
  </si>
  <si>
    <t>Turkiye</t>
  </si>
  <si>
    <t>TUV</t>
  </si>
  <si>
    <t>Tuvalu</t>
  </si>
  <si>
    <t>Tanzania</t>
  </si>
  <si>
    <t>United States</t>
  </si>
  <si>
    <t>St. Vincent and the Grenadines</t>
  </si>
  <si>
    <t>Venezuela, RB</t>
  </si>
  <si>
    <t>Vietnam</t>
  </si>
  <si>
    <t>WSM</t>
  </si>
  <si>
    <t>Samoa</t>
  </si>
  <si>
    <t>Yemen, Rep.</t>
  </si>
  <si>
    <t>L'exercice 2 sur Population-Emploi n'existe plus</t>
  </si>
  <si>
    <t>b =</t>
  </si>
  <si>
    <t xml:space="preserve">a = </t>
  </si>
  <si>
    <t>Ecart à la moyenne</t>
  </si>
  <si>
    <t>Produit des Ecart</t>
  </si>
  <si>
    <t>Covariance</t>
  </si>
  <si>
    <t>Ecart C_TOTAL</t>
  </si>
  <si>
    <t>Ecart C_PROSTATE</t>
  </si>
  <si>
    <r>
      <t xml:space="preserve">3.1 Calculer la covariance et le coefficient de corrélation de Pearson </t>
    </r>
    <r>
      <rPr>
        <b/>
        <u/>
        <sz val="10"/>
        <rFont val="Arial"/>
        <family val="2"/>
        <charset val="1"/>
      </rPr>
      <t>en décomposant les calculs</t>
    </r>
  </si>
  <si>
    <t>coefficient de corrélation de Pearson (R)</t>
  </si>
  <si>
    <t>Calcul automatique</t>
  </si>
  <si>
    <t>y = 0.0487x + 683.06</t>
  </si>
  <si>
    <t>PREV_LEB_M</t>
  </si>
  <si>
    <t>Voir Exercice F3</t>
  </si>
  <si>
    <t>Voir Exercice F2</t>
  </si>
  <si>
    <t>Voir Exercice F3- Sans Extreme</t>
  </si>
  <si>
    <t>En Chine, les valeurs élevées s'expliquent par la taille énorme de la population et par des estimations issues de modèles tenant compte de la sous-déclaration, de l'âge moyen élevé et de dépistages moins fréquents. Les données restent donc incertaines ou parfois sous-estimées.</t>
  </si>
  <si>
    <t>Voir Exercice F4</t>
  </si>
  <si>
    <t>Dans notre exemple. on peut l’interpéter comme suit :
- Résidu positif : les hommes meurent "trop tard" par rapport à la prévision modèle.
- Résidu négatif : les hommes meurent "trop tôt" par rapport à la prévision modèle</t>
  </si>
  <si>
    <t>Voir Exercice F4- Carto</t>
  </si>
  <si>
    <t>Pour ces îles, les estimations sont souvent très faibles et variables. Plusieurs éléments peuvent contribuer à expliquer cette situation :
 - leur faible population, qui rend les indicateurs statistiques plus sensibles à de petites variations du nombre de cas ;
  - des estimations statistiques potentiellement moins précises pour les territoires de petite taille ;
  - la variabilité annuelle, ainsi que d'éventuelles différences dans le dépistage, le diagnostic et l'accès aux infrastructures de santé ;
  -  l'exposition historique de certaines populations des Antilles et des Caraïbes à des pesticides utilisés dans les cultures, notamment dans la production de bananes. Certains de ces produits ont été étudiés en raison de leurs effets potentiels sur la santé et de leur possible association avec le risque de cancer de la prostate. Cette exposition peut donc être évoquée comme une hypothèse supplémentaire à examiner, sans pour autant permettre, à partir de ces seules données, d'établir une relation causale entre l'utilisation de ces produits et les niveaux de cancer de la prostate observés dans chaque île.</t>
  </si>
  <si>
    <t>Cas particulier des îles françaises des Antilles (Guadeloupe et Martinique)
Pour la Guadeloupe et la Martinique, une hypothèse supplémentaire peut être avancée. Ces territoires ont connu une exposition importante au chlordécone, pesticide utilisé pendant plusieurs années dans les bananeraies. Des travaux scientifiques ont étudié le lien entre cette exposition et le risque de cancer de la prostate.
Ainsi, si les données montrent une situation particulière de la Guadeloupe ou de la Martinique concernant le cancer de la prostate, l'exposition au chlordécone constitue un facteur explicatif potentiel à prendre en compte. Toutefois, les données statistiques présentées ici ne suffisent pas, à elles seules, à démontrer que le chlordécone est la cause des niveaux observés. D'autres facteurs peuvent également intervenir, notamment la structure par âge de la population, le dépistage, l'accès aux soins ou d'autres caractéristiques de la population.
Ce cas illustre donc une distinction essentielle en statistique : observer une association ne permet pas, à lui seul, d'établir une relation de causalité.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</si>
</sst>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20" x14ac:knownFonts="1">
    <font>
      <sz val="10"/>
      <name val="MS Sans Serif"/>
      <family val="2"/>
      <charset val="1"/>
    </font>
    <font>
      <sz val="10"/>
      <name val="Arial"/>
      <family val="2"/>
      <charset val="1"/>
    </font>
    <font>
      <b/>
      <sz val="20"/>
      <color rgb="FF800000"/>
      <name val="Arial"/>
      <family val="2"/>
      <charset val="1"/>
    </font>
    <font>
      <b/>
      <i/>
      <sz val="14"/>
      <color rgb="FF800000"/>
      <name val="Arial"/>
      <family val="2"/>
      <charset val="1"/>
    </font>
    <font>
      <b/>
      <sz val="14"/>
      <name val="Arial"/>
      <family val="2"/>
      <charset val="1"/>
    </font>
    <font>
      <b/>
      <i/>
      <sz val="10"/>
      <name val="Arial"/>
      <family val="2"/>
      <charset val="1"/>
    </font>
    <font>
      <b/>
      <sz val="10"/>
      <name val="Arial"/>
      <family val="2"/>
      <charset val="1"/>
    </font>
    <font>
      <b/>
      <u/>
      <sz val="10"/>
      <name val="Arial"/>
      <family val="2"/>
      <charset val="1"/>
    </font>
    <font>
      <b/>
      <sz val="18"/>
      <name val="Arial"/>
      <family val="2"/>
      <charset val="1"/>
    </font>
    <font>
      <b/>
      <sz val="10"/>
      <color rgb="FFFFFFFF"/>
      <name val="Arial"/>
      <family val="2"/>
      <charset val="1"/>
    </font>
    <font>
      <i/>
      <sz val="12"/>
      <name val="Arial"/>
      <family val="2"/>
      <charset val="1"/>
    </font>
    <font>
      <b/>
      <sz val="10"/>
      <name val="MS Sans Serif"/>
      <family val="2"/>
      <charset val="1"/>
    </font>
    <font>
      <sz val="10"/>
      <color rgb="FFC9211E"/>
      <name val="MS Sans Serif"/>
      <family val="2"/>
      <charset val="1"/>
    </font>
    <font>
      <b/>
      <sz val="11"/>
      <color rgb="FFFF0000"/>
      <name val="Arial"/>
      <family val="2"/>
    </font>
    <font>
      <b/>
      <sz val="10"/>
      <name val="MS Sans Serif"/>
    </font>
    <font>
      <sz val="10"/>
      <name val="MS Sans Serif"/>
      <family val="2"/>
      <charset val="1"/>
    </font>
    <font>
      <b/>
      <sz val="10"/>
      <color theme="0"/>
      <name val="MS Sans Serif"/>
    </font>
    <font>
      <b/>
      <sz val="10"/>
      <name val="Arial"/>
      <family val="2"/>
    </font>
    <font>
      <b/>
      <sz val="10"/>
      <color rgb="FF002060"/>
      <name val="Arial"/>
      <family val="2"/>
    </font>
    <font>
      <b/>
      <sz val="9"/>
      <color rgb="FF002060"/>
      <name val="Arial"/>
      <family val="2"/>
    </font>
  </fonts>
  <fills count="10">
    <fill>
      <patternFill patternType="none"/>
    </fill>
    <fill>
      <patternFill patternType="gray125"/>
    </fill>
    <fill>
      <patternFill patternType="solid">
        <fgColor rgb="FFC0C0C0"/>
        <bgColor rgb="FFCCCCFF"/>
      </patternFill>
    </fill>
    <fill>
      <patternFill patternType="solid">
        <fgColor rgb="FF000000"/>
        <bgColor rgb="FF003300"/>
      </patternFill>
    </fill>
    <fill>
      <patternFill patternType="solid">
        <fgColor rgb="FFFF0000"/>
        <bgColor rgb="FFC9211E"/>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FFC000"/>
        <bgColor indexed="64"/>
      </patternFill>
    </fill>
    <fill>
      <patternFill patternType="solid">
        <fgColor theme="6" tint="0.39997558519241921"/>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1" fillId="0" borderId="0"/>
    <xf numFmtId="9" fontId="15" fillId="0" borderId="0" applyFont="0" applyFill="0" applyBorder="0" applyAlignment="0" applyProtection="0"/>
  </cellStyleXfs>
  <cellXfs count="5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1" fillId="2" borderId="1" xfId="0" applyFont="1" applyFill="1" applyBorder="1"/>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xf numFmtId="0" fontId="1" fillId="2" borderId="0" xfId="0" applyFont="1" applyFill="1"/>
    <xf numFmtId="0" fontId="1" fillId="2" borderId="5" xfId="0" applyFont="1" applyFill="1" applyBorder="1"/>
    <xf numFmtId="0" fontId="6" fillId="2" borderId="6" xfId="0" applyFont="1" applyFill="1" applyBorder="1"/>
    <xf numFmtId="0" fontId="1" fillId="2" borderId="7" xfId="0" applyFont="1" applyFill="1" applyBorder="1"/>
    <xf numFmtId="0" fontId="1" fillId="2" borderId="8" xfId="0" applyFont="1" applyFill="1" applyBorder="1"/>
    <xf numFmtId="0" fontId="6" fillId="0" borderId="0" xfId="0" applyFont="1"/>
    <xf numFmtId="0" fontId="1" fillId="0" borderId="0" xfId="0" applyFont="1" applyAlignment="1">
      <alignment horizontal="left"/>
    </xf>
    <xf numFmtId="0" fontId="1" fillId="2" borderId="9" xfId="0" applyFont="1" applyFill="1" applyBorder="1"/>
    <xf numFmtId="0" fontId="6" fillId="2" borderId="10" xfId="0" applyFont="1" applyFill="1" applyBorder="1" applyAlignment="1">
      <alignment horizontal="center"/>
    </xf>
    <xf numFmtId="0" fontId="6" fillId="2" borderId="11" xfId="0" applyFont="1" applyFill="1" applyBorder="1" applyAlignment="1">
      <alignment horizontal="center"/>
    </xf>
    <xf numFmtId="0" fontId="6" fillId="2" borderId="12" xfId="0" applyFont="1" applyFill="1" applyBorder="1" applyAlignment="1">
      <alignment horizontal="center"/>
    </xf>
    <xf numFmtId="0" fontId="6" fillId="2" borderId="13" xfId="0" applyFont="1" applyFill="1" applyBorder="1" applyAlignment="1">
      <alignment horizontal="center"/>
    </xf>
    <xf numFmtId="0" fontId="1" fillId="0" borderId="0" xfId="1"/>
    <xf numFmtId="0" fontId="8" fillId="0" borderId="0" xfId="1" applyFont="1"/>
    <xf numFmtId="0" fontId="5" fillId="0" borderId="0" xfId="1" applyFont="1"/>
    <xf numFmtId="0" fontId="6" fillId="0" borderId="0" xfId="1" applyFont="1"/>
    <xf numFmtId="0" fontId="9" fillId="3" borderId="0" xfId="1" applyFont="1" applyFill="1" applyAlignment="1">
      <alignment horizontal="left"/>
    </xf>
    <xf numFmtId="0" fontId="9" fillId="3" borderId="0" xfId="1" applyFont="1" applyFill="1" applyAlignment="1">
      <alignment horizontal="right"/>
    </xf>
    <xf numFmtId="0" fontId="10" fillId="0" borderId="0" xfId="0" applyFont="1"/>
    <xf numFmtId="0" fontId="11" fillId="0" borderId="0" xfId="0" applyFont="1"/>
    <xf numFmtId="164" fontId="0" fillId="0" borderId="0" xfId="0" applyNumberFormat="1"/>
    <xf numFmtId="164" fontId="12" fillId="4" borderId="0" xfId="0" applyNumberFormat="1" applyFont="1" applyFill="1"/>
    <xf numFmtId="2" fontId="1" fillId="0" borderId="0" xfId="1" applyNumberFormat="1"/>
    <xf numFmtId="0" fontId="14" fillId="7" borderId="0" xfId="0" applyFont="1" applyFill="1" applyAlignment="1">
      <alignment horizontal="center"/>
    </xf>
    <xf numFmtId="0" fontId="0" fillId="0" borderId="0" xfId="0" applyAlignment="1">
      <alignment horizontal="center" vertical="center"/>
    </xf>
    <xf numFmtId="0" fontId="14" fillId="5" borderId="0" xfId="0" applyFont="1" applyFill="1" applyAlignment="1">
      <alignment horizontal="center" vertical="center"/>
    </xf>
    <xf numFmtId="164" fontId="0" fillId="5" borderId="0" xfId="0" applyNumberFormat="1" applyFill="1" applyAlignment="1">
      <alignment horizontal="center" vertical="center"/>
    </xf>
    <xf numFmtId="0" fontId="14" fillId="6" borderId="0" xfId="0" applyFont="1" applyFill="1" applyAlignment="1">
      <alignment horizontal="center" vertical="center"/>
    </xf>
    <xf numFmtId="0" fontId="0" fillId="6" borderId="0" xfId="0" applyFill="1" applyAlignment="1">
      <alignment horizontal="center" vertical="center"/>
    </xf>
    <xf numFmtId="0" fontId="14" fillId="9" borderId="0" xfId="0" applyFont="1" applyFill="1" applyAlignment="1">
      <alignment horizontal="center"/>
    </xf>
    <xf numFmtId="164" fontId="16" fillId="4" borderId="0" xfId="0" applyNumberFormat="1" applyFont="1" applyFill="1"/>
    <xf numFmtId="0" fontId="0" fillId="0" borderId="0" xfId="0" applyAlignment="1">
      <alignment horizontal="center"/>
    </xf>
    <xf numFmtId="165" fontId="14" fillId="0" borderId="0" xfId="0" applyNumberFormat="1" applyFont="1" applyAlignment="1">
      <alignment horizontal="center"/>
    </xf>
    <xf numFmtId="0" fontId="1" fillId="0" borderId="0" xfId="0" applyFont="1" applyAlignment="1">
      <alignment horizontal="center" vertical="center"/>
    </xf>
    <xf numFmtId="2" fontId="17" fillId="0" borderId="0" xfId="0" applyNumberFormat="1" applyFont="1" applyAlignment="1">
      <alignment horizontal="center" vertical="center"/>
    </xf>
    <xf numFmtId="0" fontId="1" fillId="0" borderId="0" xfId="0" applyFont="1" applyAlignment="1">
      <alignment vertical="center"/>
    </xf>
    <xf numFmtId="166" fontId="17" fillId="0" borderId="0" xfId="2" applyNumberFormat="1" applyFont="1" applyAlignment="1">
      <alignment horizontal="center" vertical="center"/>
    </xf>
    <xf numFmtId="0" fontId="18" fillId="0" borderId="0" xfId="0" applyFont="1" applyAlignment="1">
      <alignment horizontal="center" vertical="center"/>
    </xf>
    <xf numFmtId="0" fontId="1" fillId="0" borderId="0" xfId="0" applyFont="1" applyAlignment="1">
      <alignment horizontal="left" vertical="center"/>
    </xf>
    <xf numFmtId="2" fontId="0" fillId="0" borderId="0" xfId="0" applyNumberFormat="1"/>
    <xf numFmtId="10" fontId="0" fillId="0" borderId="0" xfId="2" applyNumberFormat="1" applyFont="1"/>
    <xf numFmtId="0" fontId="19" fillId="0" borderId="0" xfId="0" applyFont="1" applyAlignment="1">
      <alignment horizontal="left" vertical="center" wrapText="1"/>
    </xf>
    <xf numFmtId="0" fontId="19" fillId="0" borderId="0" xfId="0" applyFont="1" applyAlignment="1">
      <alignment horizontal="left" vertical="center"/>
    </xf>
    <xf numFmtId="0" fontId="13" fillId="0" borderId="0" xfId="0" applyFont="1" applyAlignment="1">
      <alignment horizontal="left" vertical="center" wrapText="1"/>
    </xf>
    <xf numFmtId="0" fontId="18" fillId="0" borderId="0" xfId="0" applyFont="1" applyAlignment="1">
      <alignment horizontal="center" vertical="center"/>
    </xf>
    <xf numFmtId="0" fontId="18" fillId="0" borderId="0" xfId="0" applyFont="1" applyAlignment="1">
      <alignment horizontal="left" vertical="center" wrapText="1"/>
    </xf>
    <xf numFmtId="0" fontId="14" fillId="0" borderId="0" xfId="0" applyFont="1" applyAlignment="1">
      <alignment horizontal="center"/>
    </xf>
    <xf numFmtId="0" fontId="14" fillId="8" borderId="0" xfId="0" applyFont="1" applyFill="1" applyAlignment="1">
      <alignment horizontal="center" vertical="center"/>
    </xf>
    <xf numFmtId="165" fontId="14" fillId="8" borderId="0" xfId="0" applyNumberFormat="1" applyFont="1" applyFill="1" applyAlignment="1">
      <alignment horizontal="center"/>
    </xf>
  </cellXfs>
  <cellStyles count="3">
    <cellStyle name="Excel Built-in Explanatory Text" xfId="1" xr:uid="{00000000-0005-0000-0000-000006000000}"/>
    <cellStyle name="Normal" xfId="0" builtinId="0"/>
    <cellStyle name="Pourcentage"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Y1-&gt;Y4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'F2'!$C$19</c:f>
              <c:strCache>
                <c:ptCount val="1"/>
                <c:pt idx="0">
                  <c:v>Y1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'F2'!$C$20:$C$49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yVal>
          <c:smooth val="0"/>
          <c:extLst>
            <c:ext xmlns:c16="http://schemas.microsoft.com/office/drawing/2014/chart" uri="{C3380CC4-5D6E-409C-BE32-E72D297353CC}">
              <c16:uniqueId val="{00000000-B278-48DE-BEA2-6C4755AF61F7}"/>
            </c:ext>
          </c:extLst>
        </c:ser>
        <c:ser>
          <c:idx val="1"/>
          <c:order val="1"/>
          <c:tx>
            <c:strRef>
              <c:f>'F2'!$D$19</c:f>
              <c:strCache>
                <c:ptCount val="1"/>
                <c:pt idx="0">
                  <c:v>Y2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'F2'!$D$20:$D$49</c:f>
              <c:numCache>
                <c:formatCode>General</c:formatCode>
                <c:ptCount val="30"/>
                <c:pt idx="0">
                  <c:v>188</c:v>
                </c:pt>
                <c:pt idx="1">
                  <c:v>58</c:v>
                </c:pt>
                <c:pt idx="2">
                  <c:v>10</c:v>
                </c:pt>
                <c:pt idx="3">
                  <c:v>36</c:v>
                </c:pt>
                <c:pt idx="4">
                  <c:v>30</c:v>
                </c:pt>
                <c:pt idx="5">
                  <c:v>110</c:v>
                </c:pt>
                <c:pt idx="6">
                  <c:v>116</c:v>
                </c:pt>
                <c:pt idx="7">
                  <c:v>158</c:v>
                </c:pt>
                <c:pt idx="8">
                  <c:v>86</c:v>
                </c:pt>
                <c:pt idx="9">
                  <c:v>190</c:v>
                </c:pt>
                <c:pt idx="10">
                  <c:v>8</c:v>
                </c:pt>
                <c:pt idx="11">
                  <c:v>90</c:v>
                </c:pt>
                <c:pt idx="12">
                  <c:v>126</c:v>
                </c:pt>
                <c:pt idx="13">
                  <c:v>92</c:v>
                </c:pt>
                <c:pt idx="14">
                  <c:v>64</c:v>
                </c:pt>
                <c:pt idx="15">
                  <c:v>68</c:v>
                </c:pt>
                <c:pt idx="16">
                  <c:v>154</c:v>
                </c:pt>
                <c:pt idx="17">
                  <c:v>20</c:v>
                </c:pt>
                <c:pt idx="18">
                  <c:v>46</c:v>
                </c:pt>
                <c:pt idx="19">
                  <c:v>176</c:v>
                </c:pt>
                <c:pt idx="20">
                  <c:v>140</c:v>
                </c:pt>
                <c:pt idx="21">
                  <c:v>92</c:v>
                </c:pt>
                <c:pt idx="22">
                  <c:v>84</c:v>
                </c:pt>
                <c:pt idx="23">
                  <c:v>170</c:v>
                </c:pt>
                <c:pt idx="24">
                  <c:v>4</c:v>
                </c:pt>
                <c:pt idx="25">
                  <c:v>128</c:v>
                </c:pt>
                <c:pt idx="26">
                  <c:v>2</c:v>
                </c:pt>
                <c:pt idx="27">
                  <c:v>94</c:v>
                </c:pt>
                <c:pt idx="28">
                  <c:v>6</c:v>
                </c:pt>
                <c:pt idx="29">
                  <c:v>132</c:v>
                </c:pt>
              </c:numCache>
            </c:numRef>
          </c:yVal>
          <c:smooth val="0"/>
          <c:extLst>
            <c:ext xmlns:c16="http://schemas.microsoft.com/office/drawing/2014/chart" uri="{C3380CC4-5D6E-409C-BE32-E72D297353CC}">
              <c16:uniqueId val="{00000001-B278-48DE-BEA2-6C4755AF61F7}"/>
            </c:ext>
          </c:extLst>
        </c:ser>
        <c:ser>
          <c:idx val="2"/>
          <c:order val="2"/>
          <c:tx>
            <c:strRef>
              <c:f>'F2'!$E$19</c:f>
              <c:strCache>
                <c:ptCount val="1"/>
                <c:pt idx="0">
                  <c:v>Y3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'F2'!$E$20:$E$49</c:f>
              <c:numCache>
                <c:formatCode>General</c:formatCode>
                <c:ptCount val="30"/>
                <c:pt idx="0">
                  <c:v>282</c:v>
                </c:pt>
                <c:pt idx="1">
                  <c:v>87</c:v>
                </c:pt>
                <c:pt idx="2">
                  <c:v>15</c:v>
                </c:pt>
                <c:pt idx="3">
                  <c:v>54</c:v>
                </c:pt>
                <c:pt idx="4">
                  <c:v>45</c:v>
                </c:pt>
                <c:pt idx="5">
                  <c:v>165</c:v>
                </c:pt>
                <c:pt idx="6">
                  <c:v>174</c:v>
                </c:pt>
                <c:pt idx="7">
                  <c:v>237</c:v>
                </c:pt>
                <c:pt idx="8">
                  <c:v>129</c:v>
                </c:pt>
                <c:pt idx="9">
                  <c:v>285</c:v>
                </c:pt>
                <c:pt idx="10">
                  <c:v>12</c:v>
                </c:pt>
                <c:pt idx="11">
                  <c:v>135</c:v>
                </c:pt>
                <c:pt idx="12">
                  <c:v>189</c:v>
                </c:pt>
                <c:pt idx="13">
                  <c:v>138</c:v>
                </c:pt>
                <c:pt idx="14">
                  <c:v>96</c:v>
                </c:pt>
                <c:pt idx="15">
                  <c:v>102</c:v>
                </c:pt>
                <c:pt idx="16">
                  <c:v>231</c:v>
                </c:pt>
                <c:pt idx="17">
                  <c:v>30</c:v>
                </c:pt>
                <c:pt idx="18">
                  <c:v>69</c:v>
                </c:pt>
                <c:pt idx="19">
                  <c:v>264</c:v>
                </c:pt>
                <c:pt idx="20">
                  <c:v>210</c:v>
                </c:pt>
                <c:pt idx="21">
                  <c:v>138</c:v>
                </c:pt>
                <c:pt idx="22">
                  <c:v>126</c:v>
                </c:pt>
                <c:pt idx="23">
                  <c:v>255</c:v>
                </c:pt>
                <c:pt idx="24">
                  <c:v>6</c:v>
                </c:pt>
                <c:pt idx="25">
                  <c:v>192</c:v>
                </c:pt>
                <c:pt idx="26">
                  <c:v>3</c:v>
                </c:pt>
                <c:pt idx="27">
                  <c:v>141</c:v>
                </c:pt>
                <c:pt idx="28">
                  <c:v>9</c:v>
                </c:pt>
                <c:pt idx="29">
                  <c:v>198</c:v>
                </c:pt>
              </c:numCache>
            </c:numRef>
          </c:yVal>
          <c:smooth val="0"/>
          <c:extLst>
            <c:ext xmlns:c16="http://schemas.microsoft.com/office/drawing/2014/chart" uri="{C3380CC4-5D6E-409C-BE32-E72D297353CC}">
              <c16:uniqueId val="{00000002-B278-48DE-BEA2-6C4755AF61F7}"/>
            </c:ext>
          </c:extLst>
        </c:ser>
        <c:ser>
          <c:idx val="3"/>
          <c:order val="3"/>
          <c:tx>
            <c:strRef>
              <c:f>'F2'!$F$19</c:f>
              <c:strCache>
                <c:ptCount val="1"/>
                <c:pt idx="0">
                  <c:v>Y4</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'F2'!$F$20:$F$49</c:f>
              <c:numCache>
                <c:formatCode>General</c:formatCode>
                <c:ptCount val="30"/>
                <c:pt idx="0">
                  <c:v>238</c:v>
                </c:pt>
                <c:pt idx="1">
                  <c:v>108</c:v>
                </c:pt>
                <c:pt idx="2">
                  <c:v>60</c:v>
                </c:pt>
                <c:pt idx="3">
                  <c:v>86</c:v>
                </c:pt>
                <c:pt idx="4">
                  <c:v>80</c:v>
                </c:pt>
                <c:pt idx="5">
                  <c:v>160</c:v>
                </c:pt>
                <c:pt idx="6">
                  <c:v>166</c:v>
                </c:pt>
                <c:pt idx="7">
                  <c:v>208</c:v>
                </c:pt>
                <c:pt idx="8">
                  <c:v>136</c:v>
                </c:pt>
                <c:pt idx="9">
                  <c:v>240</c:v>
                </c:pt>
                <c:pt idx="10">
                  <c:v>58</c:v>
                </c:pt>
                <c:pt idx="11">
                  <c:v>140</c:v>
                </c:pt>
                <c:pt idx="12">
                  <c:v>176</c:v>
                </c:pt>
                <c:pt idx="13">
                  <c:v>142</c:v>
                </c:pt>
                <c:pt idx="14">
                  <c:v>114</c:v>
                </c:pt>
                <c:pt idx="15">
                  <c:v>118</c:v>
                </c:pt>
                <c:pt idx="16">
                  <c:v>204</c:v>
                </c:pt>
                <c:pt idx="17">
                  <c:v>70</c:v>
                </c:pt>
                <c:pt idx="18">
                  <c:v>96</c:v>
                </c:pt>
                <c:pt idx="19">
                  <c:v>226</c:v>
                </c:pt>
                <c:pt idx="20">
                  <c:v>190</c:v>
                </c:pt>
                <c:pt idx="21">
                  <c:v>142</c:v>
                </c:pt>
                <c:pt idx="22">
                  <c:v>134</c:v>
                </c:pt>
                <c:pt idx="23">
                  <c:v>220</c:v>
                </c:pt>
                <c:pt idx="24">
                  <c:v>54</c:v>
                </c:pt>
                <c:pt idx="25">
                  <c:v>178</c:v>
                </c:pt>
                <c:pt idx="26">
                  <c:v>52</c:v>
                </c:pt>
                <c:pt idx="27">
                  <c:v>144</c:v>
                </c:pt>
                <c:pt idx="28">
                  <c:v>56</c:v>
                </c:pt>
                <c:pt idx="29">
                  <c:v>182</c:v>
                </c:pt>
              </c:numCache>
            </c:numRef>
          </c:yVal>
          <c:smooth val="0"/>
          <c:extLst>
            <c:ext xmlns:c16="http://schemas.microsoft.com/office/drawing/2014/chart" uri="{C3380CC4-5D6E-409C-BE32-E72D297353CC}">
              <c16:uniqueId val="{00000003-B278-48DE-BEA2-6C4755AF61F7}"/>
            </c:ext>
          </c:extLst>
        </c:ser>
        <c:dLbls>
          <c:showLegendKey val="0"/>
          <c:showVal val="0"/>
          <c:showCatName val="0"/>
          <c:showSerName val="0"/>
          <c:showPercent val="0"/>
          <c:showBubbleSize val="0"/>
        </c:dLbls>
        <c:axId val="1120655296"/>
        <c:axId val="1120638976"/>
      </c:scatterChart>
      <c:valAx>
        <c:axId val="112065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0638976"/>
        <c:crosses val="autoZero"/>
        <c:crossBetween val="midCat"/>
      </c:valAx>
      <c:valAx>
        <c:axId val="112063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06552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'F2'!$G$19</c:f>
              <c:strCache>
                <c:ptCount val="1"/>
                <c:pt idx="0">
                  <c:v>Y5</c:v>
                </c:pt>
              </c:strCache>
            </c:strRef>
          </c:tx>
          <c:spPr>
            <a:ln w="38100" cap="rnd">
              <a:noFill/>
              <a:round/>
            </a:ln>
            <a:effectLst/>
          </c:spPr>
          <c:marker>
            <c:symbol val="circle"/>
            <c:size val="5"/>
            <c:spPr>
              <a:solidFill>
                <a:schemeClr val="accent1"/>
              </a:solidFill>
              <a:ln w="9525">
                <a:solidFill>
                  <a:schemeClr val="accent1"/>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'F2'!$G$20:$G$49</c:f>
              <c:numCache>
                <c:formatCode>General</c:formatCode>
                <c:ptCount val="30"/>
                <c:pt idx="0">
                  <c:v>8836</c:v>
                </c:pt>
                <c:pt idx="1">
                  <c:v>841</c:v>
                </c:pt>
                <c:pt idx="2">
                  <c:v>25</c:v>
                </c:pt>
                <c:pt idx="3">
                  <c:v>324</c:v>
                </c:pt>
                <c:pt idx="4">
                  <c:v>225</c:v>
                </c:pt>
                <c:pt idx="5">
                  <c:v>3025</c:v>
                </c:pt>
                <c:pt idx="6">
                  <c:v>3364</c:v>
                </c:pt>
                <c:pt idx="7">
                  <c:v>6241</c:v>
                </c:pt>
                <c:pt idx="8">
                  <c:v>1849</c:v>
                </c:pt>
                <c:pt idx="9">
                  <c:v>9025</c:v>
                </c:pt>
                <c:pt idx="10">
                  <c:v>16</c:v>
                </c:pt>
                <c:pt idx="11">
                  <c:v>2025</c:v>
                </c:pt>
                <c:pt idx="12">
                  <c:v>3969</c:v>
                </c:pt>
                <c:pt idx="13">
                  <c:v>2116</c:v>
                </c:pt>
                <c:pt idx="14">
                  <c:v>1024</c:v>
                </c:pt>
                <c:pt idx="15">
                  <c:v>1156</c:v>
                </c:pt>
                <c:pt idx="16">
                  <c:v>5929</c:v>
                </c:pt>
                <c:pt idx="17">
                  <c:v>100</c:v>
                </c:pt>
                <c:pt idx="18">
                  <c:v>529</c:v>
                </c:pt>
                <c:pt idx="19">
                  <c:v>7744</c:v>
                </c:pt>
                <c:pt idx="20">
                  <c:v>4900</c:v>
                </c:pt>
                <c:pt idx="21">
                  <c:v>2116</c:v>
                </c:pt>
                <c:pt idx="22">
                  <c:v>1764</c:v>
                </c:pt>
                <c:pt idx="23">
                  <c:v>7225</c:v>
                </c:pt>
                <c:pt idx="24">
                  <c:v>4</c:v>
                </c:pt>
                <c:pt idx="25">
                  <c:v>4096</c:v>
                </c:pt>
                <c:pt idx="26">
                  <c:v>1</c:v>
                </c:pt>
                <c:pt idx="27">
                  <c:v>2209</c:v>
                </c:pt>
                <c:pt idx="28">
                  <c:v>9</c:v>
                </c:pt>
                <c:pt idx="29">
                  <c:v>4356</c:v>
                </c:pt>
              </c:numCache>
            </c:numRef>
          </c:yVal>
          <c:smooth val="0"/>
          <c:extLst>
            <c:ext xmlns:c16="http://schemas.microsoft.com/office/drawing/2014/chart" uri="{C3380CC4-5D6E-409C-BE32-E72D297353CC}">
              <c16:uniqueId val="{00000000-F0A7-4350-B852-0BAD6249FAD3}"/>
            </c:ext>
          </c:extLst>
        </c:ser>
        <c:dLbls>
          <c:showLegendKey val="0"/>
          <c:showVal val="0"/>
          <c:showCatName val="0"/>
          <c:showSerName val="0"/>
          <c:showPercent val="0"/>
          <c:showBubbleSize val="0"/>
        </c:dLbls>
        <c:axId val="1659071456"/>
        <c:axId val="1659072896"/>
      </c:scatterChart>
      <c:valAx>
        <c:axId val="165907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072896"/>
        <c:crosses val="autoZero"/>
        <c:crossBetween val="midCat"/>
      </c:valAx>
      <c:valAx>
        <c:axId val="16590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0714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'F2'!$H$19</c:f>
              <c:strCache>
                <c:ptCount val="1"/>
                <c:pt idx="0">
                  <c:v>Y6</c:v>
                </c:pt>
              </c:strCache>
            </c:strRef>
          </c:tx>
          <c:spPr>
            <a:ln w="38100" cap="rnd">
              <a:noFill/>
              <a:round/>
            </a:ln>
            <a:effectLst/>
          </c:spPr>
          <c:marker>
            <c:symbol val="circle"/>
            <c:size val="5"/>
            <c:spPr>
              <a:solidFill>
                <a:schemeClr val="accent1"/>
              </a:solidFill>
              <a:ln w="9525">
                <a:solidFill>
                  <a:schemeClr val="accent1"/>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'F2'!$H$20:$H$49</c:f>
              <c:numCache>
                <c:formatCode>0.00</c:formatCode>
                <c:ptCount val="30"/>
                <c:pt idx="0">
                  <c:v>1.0638297872340425E-2</c:v>
                </c:pt>
                <c:pt idx="1">
                  <c:v>3.4482758620689655E-2</c:v>
                </c:pt>
                <c:pt idx="2">
                  <c:v>0.2</c:v>
                </c:pt>
                <c:pt idx="3">
                  <c:v>5.5555555555555552E-2</c:v>
                </c:pt>
                <c:pt idx="4">
                  <c:v>6.6666666666666666E-2</c:v>
                </c:pt>
                <c:pt idx="5">
                  <c:v>1.8181818181818181E-2</c:v>
                </c:pt>
                <c:pt idx="6">
                  <c:v>1.7241379310344827E-2</c:v>
                </c:pt>
                <c:pt idx="7">
                  <c:v>1.2658227848101266E-2</c:v>
                </c:pt>
                <c:pt idx="8">
                  <c:v>2.3255813953488372E-2</c:v>
                </c:pt>
                <c:pt idx="9">
                  <c:v>1.0526315789473684E-2</c:v>
                </c:pt>
                <c:pt idx="10">
                  <c:v>0.25</c:v>
                </c:pt>
                <c:pt idx="11">
                  <c:v>2.2222222222222223E-2</c:v>
                </c:pt>
                <c:pt idx="12">
                  <c:v>1.5873015873015872E-2</c:v>
                </c:pt>
                <c:pt idx="13">
                  <c:v>2.1739130434782608E-2</c:v>
                </c:pt>
                <c:pt idx="14">
                  <c:v>3.125E-2</c:v>
                </c:pt>
                <c:pt idx="15">
                  <c:v>2.9411764705882353E-2</c:v>
                </c:pt>
                <c:pt idx="16">
                  <c:v>1.2987012987012988E-2</c:v>
                </c:pt>
                <c:pt idx="17">
                  <c:v>0.1</c:v>
                </c:pt>
                <c:pt idx="18">
                  <c:v>4.3478260869565216E-2</c:v>
                </c:pt>
                <c:pt idx="19">
                  <c:v>1.1363636363636364E-2</c:v>
                </c:pt>
                <c:pt idx="20">
                  <c:v>1.4285714285714285E-2</c:v>
                </c:pt>
                <c:pt idx="21">
                  <c:v>2.1739130434782608E-2</c:v>
                </c:pt>
                <c:pt idx="22">
                  <c:v>2.3809523809523808E-2</c:v>
                </c:pt>
                <c:pt idx="23">
                  <c:v>1.1764705882352941E-2</c:v>
                </c:pt>
                <c:pt idx="24">
                  <c:v>0.5</c:v>
                </c:pt>
                <c:pt idx="25">
                  <c:v>1.5625E-2</c:v>
                </c:pt>
                <c:pt idx="26">
                  <c:v>1</c:v>
                </c:pt>
                <c:pt idx="27">
                  <c:v>2.1276595744680851E-2</c:v>
                </c:pt>
                <c:pt idx="28">
                  <c:v>0.33333333333333331</c:v>
                </c:pt>
                <c:pt idx="29">
                  <c:v>1.5151515151515152E-2</c:v>
                </c:pt>
              </c:numCache>
            </c:numRef>
          </c:yVal>
          <c:smooth val="0"/>
          <c:extLst>
            <c:ext xmlns:c16="http://schemas.microsoft.com/office/drawing/2014/chart" uri="{C3380CC4-5D6E-409C-BE32-E72D297353CC}">
              <c16:uniqueId val="{00000000-717F-4FDF-AF05-F50FCFF0E925}"/>
            </c:ext>
          </c:extLst>
        </c:ser>
        <c:dLbls>
          <c:showLegendKey val="0"/>
          <c:showVal val="0"/>
          <c:showCatName val="0"/>
          <c:showSerName val="0"/>
          <c:showPercent val="0"/>
          <c:showBubbleSize val="0"/>
        </c:dLbls>
        <c:axId val="1510261120"/>
        <c:axId val="1505948400"/>
      </c:scatterChart>
      <c:valAx>
        <c:axId val="1510261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05948400"/>
        <c:crosses val="autoZero"/>
        <c:crossBetween val="midCat"/>
      </c:valAx>
      <c:valAx>
        <c:axId val="1505948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0261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'F2'!$I$19</c:f>
              <c:strCache>
                <c:ptCount val="1"/>
                <c:pt idx="0">
                  <c:v>Y7</c:v>
                </c:pt>
              </c:strCache>
            </c:strRef>
          </c:tx>
          <c:spPr>
            <a:ln w="38100" cap="rnd">
              <a:noFill/>
              <a:round/>
            </a:ln>
            <a:effectLst/>
          </c:spPr>
          <c:marker>
            <c:symbol val="circle"/>
            <c:size val="5"/>
            <c:spPr>
              <a:solidFill>
                <a:schemeClr val="accent1"/>
              </a:solidFill>
              <a:ln w="9525">
                <a:solidFill>
                  <a:schemeClr val="accent1"/>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'F2'!$I$20:$I$49</c:f>
              <c:numCache>
                <c:formatCode>0.00</c:formatCode>
                <c:ptCount val="30"/>
                <c:pt idx="0">
                  <c:v>9.6953597148326587</c:v>
                </c:pt>
                <c:pt idx="1">
                  <c:v>5.3851648071345037</c:v>
                </c:pt>
                <c:pt idx="2">
                  <c:v>2.2360679774997898</c:v>
                </c:pt>
                <c:pt idx="3">
                  <c:v>4.2426406871192848</c:v>
                </c:pt>
                <c:pt idx="4">
                  <c:v>3.872983346207417</c:v>
                </c:pt>
                <c:pt idx="5">
                  <c:v>7.416198487095663</c:v>
                </c:pt>
                <c:pt idx="6">
                  <c:v>7.6157731058639087</c:v>
                </c:pt>
                <c:pt idx="7">
                  <c:v>8.8881944173155887</c:v>
                </c:pt>
                <c:pt idx="8">
                  <c:v>6.5574385243020004</c:v>
                </c:pt>
                <c:pt idx="9">
                  <c:v>9.7467943448089631</c:v>
                </c:pt>
                <c:pt idx="10">
                  <c:v>2</c:v>
                </c:pt>
                <c:pt idx="11">
                  <c:v>6.7082039324993694</c:v>
                </c:pt>
                <c:pt idx="12">
                  <c:v>7.9372539331937721</c:v>
                </c:pt>
                <c:pt idx="13">
                  <c:v>6.7823299831252681</c:v>
                </c:pt>
                <c:pt idx="14">
                  <c:v>5.6568542494923806</c:v>
                </c:pt>
                <c:pt idx="15">
                  <c:v>5.8309518948453007</c:v>
                </c:pt>
                <c:pt idx="16">
                  <c:v>8.7749643873921226</c:v>
                </c:pt>
                <c:pt idx="17">
                  <c:v>3.1622776601683795</c:v>
                </c:pt>
                <c:pt idx="18">
                  <c:v>4.7958315233127191</c:v>
                </c:pt>
                <c:pt idx="19">
                  <c:v>9.3808315196468595</c:v>
                </c:pt>
                <c:pt idx="20">
                  <c:v>8.3666002653407556</c:v>
                </c:pt>
                <c:pt idx="21">
                  <c:v>6.7823299831252681</c:v>
                </c:pt>
                <c:pt idx="22">
                  <c:v>6.4807406984078604</c:v>
                </c:pt>
                <c:pt idx="23">
                  <c:v>9.2195444572928871</c:v>
                </c:pt>
                <c:pt idx="24">
                  <c:v>1.4142135623730951</c:v>
                </c:pt>
                <c:pt idx="25">
                  <c:v>8</c:v>
                </c:pt>
                <c:pt idx="26">
                  <c:v>1</c:v>
                </c:pt>
                <c:pt idx="27">
                  <c:v>6.8556546004010439</c:v>
                </c:pt>
                <c:pt idx="28">
                  <c:v>1.7320508075688772</c:v>
                </c:pt>
                <c:pt idx="29">
                  <c:v>8.1240384046359608</c:v>
                </c:pt>
              </c:numCache>
            </c:numRef>
          </c:yVal>
          <c:smooth val="0"/>
          <c:extLst>
            <c:ext xmlns:c16="http://schemas.microsoft.com/office/drawing/2014/chart" uri="{C3380CC4-5D6E-409C-BE32-E72D297353CC}">
              <c16:uniqueId val="{00000000-44A0-44CF-9D45-20D690701118}"/>
            </c:ext>
          </c:extLst>
        </c:ser>
        <c:dLbls>
          <c:showLegendKey val="0"/>
          <c:showVal val="0"/>
          <c:showCatName val="0"/>
          <c:showSerName val="0"/>
          <c:showPercent val="0"/>
          <c:showBubbleSize val="0"/>
        </c:dLbls>
        <c:axId val="1658846288"/>
        <c:axId val="1658854448"/>
      </c:scatterChart>
      <c:valAx>
        <c:axId val="1658846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8854448"/>
        <c:crosses val="autoZero"/>
        <c:crossBetween val="midCat"/>
      </c:valAx>
      <c:valAx>
        <c:axId val="1658854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8846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'F3'!$D$10</c:f>
              <c:strCache>
                <c:ptCount val="1"/>
                <c:pt idx="0">
                  <c:v>C_PROSTATE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356351541652283"/>
                  <c:y val="3.237292105879597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'F3'!$C$11:$C$201</c:f>
              <c:numCache>
                <c:formatCode>0.0</c:formatCode>
                <c:ptCount val="191"/>
                <c:pt idx="0">
                  <c:v>21223.554931236798</c:v>
                </c:pt>
                <c:pt idx="1">
                  <c:v>12756.0022394323</c:v>
                </c:pt>
                <c:pt idx="2">
                  <c:v>4688.5100336567903</c:v>
                </c:pt>
                <c:pt idx="3">
                  <c:v>227.35372064325699</c:v>
                </c:pt>
                <c:pt idx="4">
                  <c:v>5458.0944281426</c:v>
                </c:pt>
                <c:pt idx="5">
                  <c:v>84669.003902997807</c:v>
                </c:pt>
                <c:pt idx="6">
                  <c:v>5827.5125193090998</c:v>
                </c:pt>
                <c:pt idx="7">
                  <c:v>137.32379831447301</c:v>
                </c:pt>
                <c:pt idx="8">
                  <c:v>52826.178880462801</c:v>
                </c:pt>
                <c:pt idx="9">
                  <c:v>21920.3933478371</c:v>
                </c:pt>
                <c:pt idx="10">
                  <c:v>11895.287049430401</c:v>
                </c:pt>
                <c:pt idx="11">
                  <c:v>5264.7462096997797</c:v>
                </c:pt>
                <c:pt idx="12">
                  <c:v>33502.707543509503</c:v>
                </c:pt>
                <c:pt idx="13">
                  <c:v>5230.7376415282097</c:v>
                </c:pt>
                <c:pt idx="14">
                  <c:v>10097.7648200812</c:v>
                </c:pt>
                <c:pt idx="15">
                  <c:v>105848.175349777</c:v>
                </c:pt>
                <c:pt idx="16">
                  <c:v>21974.080056639301</c:v>
                </c:pt>
                <c:pt idx="17">
                  <c:v>811.99387042185003</c:v>
                </c:pt>
                <c:pt idx="18">
                  <c:v>576.97280519833396</c:v>
                </c:pt>
                <c:pt idx="19">
                  <c:v>9460.1407673103804</c:v>
                </c:pt>
                <c:pt idx="20">
                  <c:v>19614.034606236</c:v>
                </c:pt>
                <c:pt idx="21">
                  <c:v>298.462478511065</c:v>
                </c:pt>
                <c:pt idx="22">
                  <c:v>14001.154012700399</c:v>
                </c:pt>
                <c:pt idx="23">
                  <c:v>264602.60802118102</c:v>
                </c:pt>
                <c:pt idx="24">
                  <c:v>822.32159718917603</c:v>
                </c:pt>
                <c:pt idx="25">
                  <c:v>523.91798779353599</c:v>
                </c:pt>
                <c:pt idx="26">
                  <c:v>472.275295798473</c:v>
                </c:pt>
                <c:pt idx="27">
                  <c:v>2067.5218055482701</c:v>
                </c:pt>
                <c:pt idx="28">
                  <c:v>2652.4004140150801</c:v>
                </c:pt>
                <c:pt idx="29">
                  <c:v>91934.890905833105</c:v>
                </c:pt>
                <c:pt idx="30">
                  <c:v>19971.3431836091</c:v>
                </c:pt>
                <c:pt idx="31">
                  <c:v>31366.0768440301</c:v>
                </c:pt>
                <c:pt idx="32">
                  <c:v>2711894.9792648698</c:v>
                </c:pt>
                <c:pt idx="33">
                  <c:v>11552.209012773499</c:v>
                </c:pt>
                <c:pt idx="34">
                  <c:v>14211.264528731501</c:v>
                </c:pt>
                <c:pt idx="35">
                  <c:v>36789.206365169499</c:v>
                </c:pt>
                <c:pt idx="36">
                  <c:v>3354.0906170102799</c:v>
                </c:pt>
                <c:pt idx="37">
                  <c:v>49041.062056724702</c:v>
                </c:pt>
                <c:pt idx="38">
                  <c:v>543.10074216567205</c:v>
                </c:pt>
                <c:pt idx="39">
                  <c:v>715.06120134992796</c:v>
                </c:pt>
                <c:pt idx="40">
                  <c:v>6002.0878066715304</c:v>
                </c:pt>
                <c:pt idx="41">
                  <c:v>27726.162570262499</c:v>
                </c:pt>
                <c:pt idx="42">
                  <c:v>2267.5515939662801</c:v>
                </c:pt>
                <c:pt idx="43">
                  <c:v>30472.286197695299</c:v>
                </c:pt>
                <c:pt idx="44">
                  <c:v>270525.455713187</c:v>
                </c:pt>
                <c:pt idx="45">
                  <c:v>747.77625057515797</c:v>
                </c:pt>
                <c:pt idx="46">
                  <c:v>180.97203272777</c:v>
                </c:pt>
                <c:pt idx="47">
                  <c:v>18316.979979182601</c:v>
                </c:pt>
                <c:pt idx="48">
                  <c:v>10769.5359839045</c:v>
                </c:pt>
                <c:pt idx="49">
                  <c:v>23748.518017003102</c:v>
                </c:pt>
                <c:pt idx="50">
                  <c:v>17552.554804572399</c:v>
                </c:pt>
                <c:pt idx="51">
                  <c:v>57810.378531367103</c:v>
                </c:pt>
                <c:pt idx="52">
                  <c:v>3667.4721765724298</c:v>
                </c:pt>
                <c:pt idx="53">
                  <c:v>123705.218137552</c:v>
                </c:pt>
                <c:pt idx="54">
                  <c:v>3806.4543923227202</c:v>
                </c:pt>
                <c:pt idx="55">
                  <c:v>39482.026461003603</c:v>
                </c:pt>
                <c:pt idx="56">
                  <c:v>14337.094557842</c:v>
                </c:pt>
                <c:pt idx="57">
                  <c:v>806.35077182899704</c:v>
                </c:pt>
                <c:pt idx="58">
                  <c:v>194363.075634051</c:v>
                </c:pt>
                <c:pt idx="59">
                  <c:v>1431.29375792363</c:v>
                </c:pt>
                <c:pt idx="60">
                  <c:v>193721.48187383299</c:v>
                </c:pt>
                <c:pt idx="61">
                  <c:v>8315.2061895011702</c:v>
                </c:pt>
                <c:pt idx="62">
                  <c:v>18454.344158522399</c:v>
                </c:pt>
                <c:pt idx="63">
                  <c:v>8408.5701131387395</c:v>
                </c:pt>
                <c:pt idx="64">
                  <c:v>1066.1659946360301</c:v>
                </c:pt>
                <c:pt idx="65">
                  <c:v>973.74248934990896</c:v>
                </c:pt>
                <c:pt idx="66">
                  <c:v>599.68380363738402</c:v>
                </c:pt>
                <c:pt idx="67">
                  <c:v>34755.710642395898</c:v>
                </c:pt>
                <c:pt idx="68">
                  <c:v>186.330290215529</c:v>
                </c:pt>
                <c:pt idx="69">
                  <c:v>12565.1277968288</c:v>
                </c:pt>
                <c:pt idx="70">
                  <c:v>778.160723300585</c:v>
                </c:pt>
                <c:pt idx="71">
                  <c:v>7700.1528482245703</c:v>
                </c:pt>
                <c:pt idx="72">
                  <c:v>13864.0813541813</c:v>
                </c:pt>
                <c:pt idx="73">
                  <c:v>10489.414783647</c:v>
                </c:pt>
                <c:pt idx="74">
                  <c:v>34033.262040981397</c:v>
                </c:pt>
                <c:pt idx="75">
                  <c:v>228890.08847959101</c:v>
                </c:pt>
                <c:pt idx="76">
                  <c:v>929554.75797354395</c:v>
                </c:pt>
                <c:pt idx="77">
                  <c:v>10257.785633927</c:v>
                </c:pt>
                <c:pt idx="78">
                  <c:v>66679.786095134201</c:v>
                </c:pt>
                <c:pt idx="79">
                  <c:v>24381.343741622401</c:v>
                </c:pt>
                <c:pt idx="80">
                  <c:v>648.96887472205799</c:v>
                </c:pt>
                <c:pt idx="81">
                  <c:v>14445.7849374827</c:v>
                </c:pt>
                <c:pt idx="82">
                  <c:v>189150.086489245</c:v>
                </c:pt>
                <c:pt idx="83">
                  <c:v>4316.7158154213002</c:v>
                </c:pt>
                <c:pt idx="84">
                  <c:v>5631.5415858677197</c:v>
                </c:pt>
                <c:pt idx="85">
                  <c:v>437745.52509406599</c:v>
                </c:pt>
                <c:pt idx="86">
                  <c:v>21028.913892860099</c:v>
                </c:pt>
                <c:pt idx="87">
                  <c:v>23224.784181685402</c:v>
                </c:pt>
                <c:pt idx="88">
                  <c:v>4143.3708793672804</c:v>
                </c:pt>
                <c:pt idx="89">
                  <c:v>14517.4813603439</c:v>
                </c:pt>
                <c:pt idx="90">
                  <c:v>98.760821735780297</c:v>
                </c:pt>
                <c:pt idx="91">
                  <c:v>103436.73109983699</c:v>
                </c:pt>
                <c:pt idx="92">
                  <c:v>1648.2314336076799</c:v>
                </c:pt>
                <c:pt idx="93">
                  <c:v>4963.1705754886598</c:v>
                </c:pt>
                <c:pt idx="94">
                  <c:v>7480.1544665812899</c:v>
                </c:pt>
                <c:pt idx="95">
                  <c:v>2047.3084252272999</c:v>
                </c:pt>
                <c:pt idx="96">
                  <c:v>5423.5638815948396</c:v>
                </c:pt>
                <c:pt idx="97">
                  <c:v>302.26534926483703</c:v>
                </c:pt>
                <c:pt idx="98">
                  <c:v>18661.3863969503</c:v>
                </c:pt>
                <c:pt idx="99">
                  <c:v>2210.7702013766502</c:v>
                </c:pt>
                <c:pt idx="100">
                  <c:v>7812.30295975835</c:v>
                </c:pt>
                <c:pt idx="101">
                  <c:v>1284.4415231235</c:v>
                </c:pt>
                <c:pt idx="102">
                  <c:v>5557.0250390482797</c:v>
                </c:pt>
                <c:pt idx="103">
                  <c:v>27902.930901096599</c:v>
                </c:pt>
                <c:pt idx="104">
                  <c:v>224.502519106178</c:v>
                </c:pt>
                <c:pt idx="105">
                  <c:v>6235.0640717139904</c:v>
                </c:pt>
                <c:pt idx="106">
                  <c:v>10990.903223797801</c:v>
                </c:pt>
                <c:pt idx="107">
                  <c:v>211.784379782282</c:v>
                </c:pt>
                <c:pt idx="108">
                  <c:v>105590.82140398301</c:v>
                </c:pt>
                <c:pt idx="109">
                  <c:v>53.468051537794899</c:v>
                </c:pt>
                <c:pt idx="110">
                  <c:v>5424.1096851565999</c:v>
                </c:pt>
                <c:pt idx="111">
                  <c:v>9310.8214184401404</c:v>
                </c:pt>
                <c:pt idx="112">
                  <c:v>987.79240414974197</c:v>
                </c:pt>
                <c:pt idx="113">
                  <c:v>52543.365462156296</c:v>
                </c:pt>
                <c:pt idx="114">
                  <c:v>1641.76449090195</c:v>
                </c:pt>
                <c:pt idx="115">
                  <c:v>5957.9126048569597</c:v>
                </c:pt>
                <c:pt idx="116">
                  <c:v>13501.3285861978</c:v>
                </c:pt>
                <c:pt idx="117">
                  <c:v>2056.0354819110198</c:v>
                </c:pt>
                <c:pt idx="118">
                  <c:v>1510.16062765418</c:v>
                </c:pt>
                <c:pt idx="119">
                  <c:v>10091.910744499701</c:v>
                </c:pt>
                <c:pt idx="120">
                  <c:v>31051.123631711002</c:v>
                </c:pt>
                <c:pt idx="121">
                  <c:v>1591.7460853985699</c:v>
                </c:pt>
                <c:pt idx="122">
                  <c:v>6958.3828945098003</c:v>
                </c:pt>
                <c:pt idx="123">
                  <c:v>81229.585036301607</c:v>
                </c:pt>
                <c:pt idx="124">
                  <c:v>4407.0025538592799</c:v>
                </c:pt>
                <c:pt idx="125">
                  <c:v>55905.768469484901</c:v>
                </c:pt>
                <c:pt idx="126">
                  <c:v>12574.471909382901</c:v>
                </c:pt>
                <c:pt idx="127">
                  <c:v>21551.208112875502</c:v>
                </c:pt>
                <c:pt idx="128">
                  <c:v>7.6123431385470104</c:v>
                </c:pt>
                <c:pt idx="129">
                  <c:v>10439.1705335713</c:v>
                </c:pt>
                <c:pt idx="130">
                  <c:v>1363.21810181249</c:v>
                </c:pt>
                <c:pt idx="131">
                  <c:v>179465.20692758</c:v>
                </c:pt>
                <c:pt idx="132">
                  <c:v>3954.0224758561999</c:v>
                </c:pt>
                <c:pt idx="133">
                  <c:v>33336.762224528597</c:v>
                </c:pt>
                <c:pt idx="134">
                  <c:v>81126.308336325994</c:v>
                </c:pt>
                <c:pt idx="135">
                  <c:v>35.592063299331798</c:v>
                </c:pt>
                <c:pt idx="136">
                  <c:v>5627.7668480006196</c:v>
                </c:pt>
                <c:pt idx="137">
                  <c:v>121239.36194454999</c:v>
                </c:pt>
                <c:pt idx="138">
                  <c:v>6877.4159984671596</c:v>
                </c:pt>
                <c:pt idx="139">
                  <c:v>40791.8856403342</c:v>
                </c:pt>
                <c:pt idx="140">
                  <c:v>31145.443991860298</c:v>
                </c:pt>
                <c:pt idx="141">
                  <c:v>6120.08537813356</c:v>
                </c:pt>
                <c:pt idx="142">
                  <c:v>2902.7198594118499</c:v>
                </c:pt>
                <c:pt idx="143">
                  <c:v>828.34303718153706</c:v>
                </c:pt>
                <c:pt idx="144">
                  <c:v>52482.0739374759</c:v>
                </c:pt>
                <c:pt idx="145">
                  <c:v>296085.16024611902</c:v>
                </c:pt>
                <c:pt idx="146">
                  <c:v>7126.35827789003</c:v>
                </c:pt>
                <c:pt idx="147">
                  <c:v>13073.304992552199</c:v>
                </c:pt>
                <c:pt idx="148">
                  <c:v>17067.794524586101</c:v>
                </c:pt>
                <c:pt idx="149">
                  <c:v>8183.6877166540698</c:v>
                </c:pt>
                <c:pt idx="150">
                  <c:v>6947.5793669957902</c:v>
                </c:pt>
                <c:pt idx="151">
                  <c:v>648.25002854184004</c:v>
                </c:pt>
                <c:pt idx="152">
                  <c:v>3790.4861576542398</c:v>
                </c:pt>
                <c:pt idx="153">
                  <c:v>5889.9227111936498</c:v>
                </c:pt>
                <c:pt idx="154">
                  <c:v>116.304699156328</c:v>
                </c:pt>
                <c:pt idx="155">
                  <c:v>7982.0892564558098</c:v>
                </c:pt>
                <c:pt idx="156">
                  <c:v>28333.957563081</c:v>
                </c:pt>
                <c:pt idx="157">
                  <c:v>4128.7615134338203</c:v>
                </c:pt>
                <c:pt idx="158">
                  <c:v>144.676449842869</c:v>
                </c:pt>
                <c:pt idx="159">
                  <c:v>712.96995501855804</c:v>
                </c:pt>
                <c:pt idx="160">
                  <c:v>13880.17271558</c:v>
                </c:pt>
                <c:pt idx="161">
                  <c:v>6308.4320453632299</c:v>
                </c:pt>
                <c:pt idx="162">
                  <c:v>26188.628795694302</c:v>
                </c:pt>
                <c:pt idx="163">
                  <c:v>975.64812097484605</c:v>
                </c:pt>
                <c:pt idx="164">
                  <c:v>180.86318233930399</c:v>
                </c:pt>
                <c:pt idx="165">
                  <c:v>8758.0978715991096</c:v>
                </c:pt>
                <c:pt idx="166">
                  <c:v>6233.1208134381004</c:v>
                </c:pt>
                <c:pt idx="167">
                  <c:v>3821.7262444008702</c:v>
                </c:pt>
                <c:pt idx="168">
                  <c:v>115352.595586458</c:v>
                </c:pt>
                <c:pt idx="169">
                  <c:v>5360.6017137598601</c:v>
                </c:pt>
                <c:pt idx="170">
                  <c:v>3628.65235630078</c:v>
                </c:pt>
                <c:pt idx="171">
                  <c:v>822.15935374213404</c:v>
                </c:pt>
                <c:pt idx="172">
                  <c:v>126.68426851619699</c:v>
                </c:pt>
                <c:pt idx="173">
                  <c:v>2002.81426663976</c:v>
                </c:pt>
                <c:pt idx="174">
                  <c:v>10085.635310713</c:v>
                </c:pt>
                <c:pt idx="175">
                  <c:v>104075.19832607001</c:v>
                </c:pt>
                <c:pt idx="176">
                  <c:v>56742.424150401697</c:v>
                </c:pt>
                <c:pt idx="177">
                  <c:v>31337.2211565744</c:v>
                </c:pt>
                <c:pt idx="178">
                  <c:v>21608.891448420301</c:v>
                </c:pt>
                <c:pt idx="179">
                  <c:v>99052.960653552</c:v>
                </c:pt>
                <c:pt idx="180">
                  <c:v>10017.1340957023</c:v>
                </c:pt>
                <c:pt idx="181">
                  <c:v>763146.23482239398</c:v>
                </c:pt>
                <c:pt idx="182">
                  <c:v>22304.9780568274</c:v>
                </c:pt>
                <c:pt idx="183">
                  <c:v>206.42668892345901</c:v>
                </c:pt>
                <c:pt idx="184">
                  <c:v>34499.8099228887</c:v>
                </c:pt>
                <c:pt idx="185">
                  <c:v>112271.02173162901</c:v>
                </c:pt>
                <c:pt idx="186">
                  <c:v>224.72169721485099</c:v>
                </c:pt>
                <c:pt idx="187">
                  <c:v>12660.2495513799</c:v>
                </c:pt>
                <c:pt idx="188">
                  <c:v>54573.5869925484</c:v>
                </c:pt>
                <c:pt idx="189">
                  <c:v>9767.5175758834794</c:v>
                </c:pt>
                <c:pt idx="190">
                  <c:v>12314.563595838301</c:v>
                </c:pt>
              </c:numCache>
            </c:numRef>
          </c:xVal>
          <c:yVal>
            <c:numRef>
              <c:f>'F3'!$D$11:$D$201</c:f>
              <c:numCache>
                <c:formatCode>0.0</c:formatCode>
                <c:ptCount val="191"/>
                <c:pt idx="0">
                  <c:v>505.17652371630498</c:v>
                </c:pt>
                <c:pt idx="1">
                  <c:v>910.43033304833898</c:v>
                </c:pt>
                <c:pt idx="2">
                  <c:v>386.75371667154099</c:v>
                </c:pt>
                <c:pt idx="3">
                  <c:v>14.6737928461301</c:v>
                </c:pt>
                <c:pt idx="4">
                  <c:v>126.674101015093</c:v>
                </c:pt>
                <c:pt idx="5">
                  <c:v>6372.1748897157304</c:v>
                </c:pt>
                <c:pt idx="6">
                  <c:v>284.810310479755</c:v>
                </c:pt>
                <c:pt idx="7">
                  <c:v>30.9823512810332</c:v>
                </c:pt>
                <c:pt idx="8">
                  <c:v>4539.2850214738401</c:v>
                </c:pt>
                <c:pt idx="9">
                  <c:v>1693.07495840925</c:v>
                </c:pt>
                <c:pt idx="10">
                  <c:v>405.27534259762598</c:v>
                </c:pt>
                <c:pt idx="11">
                  <c:v>422.65744934338898</c:v>
                </c:pt>
                <c:pt idx="12">
                  <c:v>2532.7298221246301</c:v>
                </c:pt>
                <c:pt idx="13">
                  <c:v>501.45681173603498</c:v>
                </c:pt>
                <c:pt idx="14">
                  <c:v>870.36589778621601</c:v>
                </c:pt>
                <c:pt idx="15">
                  <c:v>4430.4182676628698</c:v>
                </c:pt>
                <c:pt idx="16">
                  <c:v>1332.0178101301501</c:v>
                </c:pt>
                <c:pt idx="17">
                  <c:v>36.309474340325004</c:v>
                </c:pt>
                <c:pt idx="18">
                  <c:v>99.111681179182995</c:v>
                </c:pt>
                <c:pt idx="19">
                  <c:v>463.99604866476898</c:v>
                </c:pt>
                <c:pt idx="20">
                  <c:v>1042.04408231774</c:v>
                </c:pt>
                <c:pt idx="21">
                  <c:v>45.334341037760801</c:v>
                </c:pt>
                <c:pt idx="22">
                  <c:v>1296.8422350015401</c:v>
                </c:pt>
                <c:pt idx="23">
                  <c:v>23340.873493632102</c:v>
                </c:pt>
                <c:pt idx="24">
                  <c:v>174.687599588854</c:v>
                </c:pt>
                <c:pt idx="25">
                  <c:v>13.336508862101599</c:v>
                </c:pt>
                <c:pt idx="26">
                  <c:v>23.205078841098601</c:v>
                </c:pt>
                <c:pt idx="27">
                  <c:v>193.156267107453</c:v>
                </c:pt>
                <c:pt idx="28">
                  <c:v>147.53043634543599</c:v>
                </c:pt>
                <c:pt idx="29">
                  <c:v>6523.06951032705</c:v>
                </c:pt>
                <c:pt idx="30">
                  <c:v>1912.2750785298699</c:v>
                </c:pt>
                <c:pt idx="31">
                  <c:v>2888.3421546527002</c:v>
                </c:pt>
                <c:pt idx="32">
                  <c:v>54390.875089943504</c:v>
                </c:pt>
                <c:pt idx="33">
                  <c:v>1099.90436693216</c:v>
                </c:pt>
                <c:pt idx="34">
                  <c:v>1378.96624912372</c:v>
                </c:pt>
                <c:pt idx="35">
                  <c:v>2573.5685227491699</c:v>
                </c:pt>
                <c:pt idx="36">
                  <c:v>249.25729526765301</c:v>
                </c:pt>
                <c:pt idx="37">
                  <c:v>4459.8895407192504</c:v>
                </c:pt>
                <c:pt idx="38">
                  <c:v>52.807487824087197</c:v>
                </c:pt>
                <c:pt idx="39">
                  <c:v>106.620824551841</c:v>
                </c:pt>
                <c:pt idx="40">
                  <c:v>570.18360990437395</c:v>
                </c:pt>
                <c:pt idx="41">
                  <c:v>3396.7453691979499</c:v>
                </c:pt>
                <c:pt idx="42">
                  <c:v>186.33245510144201</c:v>
                </c:pt>
                <c:pt idx="43">
                  <c:v>1888.9079814701799</c:v>
                </c:pt>
                <c:pt idx="44">
                  <c:v>20146.0984868249</c:v>
                </c:pt>
                <c:pt idx="45">
                  <c:v>67.539026217961606</c:v>
                </c:pt>
                <c:pt idx="46">
                  <c:v>50.385946478337999</c:v>
                </c:pt>
                <c:pt idx="47">
                  <c:v>1707.82133803648</c:v>
                </c:pt>
                <c:pt idx="48">
                  <c:v>1686.5644130042299</c:v>
                </c:pt>
                <c:pt idx="49">
                  <c:v>1279.89475965422</c:v>
                </c:pt>
                <c:pt idx="50">
                  <c:v>1678.7307257729201</c:v>
                </c:pt>
                <c:pt idx="51">
                  <c:v>1807.66637698984</c:v>
                </c:pt>
                <c:pt idx="52">
                  <c:v>190.25102118942399</c:v>
                </c:pt>
                <c:pt idx="53">
                  <c:v>8405.84165336755</c:v>
                </c:pt>
                <c:pt idx="54">
                  <c:v>280.16905741908101</c:v>
                </c:pt>
                <c:pt idx="55">
                  <c:v>2292.18300331007</c:v>
                </c:pt>
                <c:pt idx="56">
                  <c:v>1293.76893449261</c:v>
                </c:pt>
                <c:pt idx="57">
                  <c:v>50.457348704664298</c:v>
                </c:pt>
                <c:pt idx="58">
                  <c:v>14501.954474764199</c:v>
                </c:pt>
                <c:pt idx="59">
                  <c:v>116.89187871055201</c:v>
                </c:pt>
                <c:pt idx="60">
                  <c:v>15967.932902537699</c:v>
                </c:pt>
                <c:pt idx="61">
                  <c:v>459.36483344609798</c:v>
                </c:pt>
                <c:pt idx="62">
                  <c:v>2133.4887003624299</c:v>
                </c:pt>
                <c:pt idx="63">
                  <c:v>799.53174772092598</c:v>
                </c:pt>
                <c:pt idx="64">
                  <c:v>38.557988117518498</c:v>
                </c:pt>
                <c:pt idx="65">
                  <c:v>71.678562477335106</c:v>
                </c:pt>
                <c:pt idx="66">
                  <c:v>46.195465842142497</c:v>
                </c:pt>
                <c:pt idx="67">
                  <c:v>2684.6925820637198</c:v>
                </c:pt>
                <c:pt idx="68">
                  <c:v>36.8439427525404</c:v>
                </c:pt>
                <c:pt idx="69">
                  <c:v>1250.4515423503101</c:v>
                </c:pt>
                <c:pt idx="70">
                  <c:v>128.80979801351901</c:v>
                </c:pt>
                <c:pt idx="71">
                  <c:v>521.19903681663402</c:v>
                </c:pt>
                <c:pt idx="72">
                  <c:v>913.85945802588003</c:v>
                </c:pt>
                <c:pt idx="73">
                  <c:v>1379.13589458969</c:v>
                </c:pt>
                <c:pt idx="74">
                  <c:v>1565.7270908102</c:v>
                </c:pt>
                <c:pt idx="75">
                  <c:v>11407.069864634001</c:v>
                </c:pt>
                <c:pt idx="76">
                  <c:v>32107.145508504102</c:v>
                </c:pt>
                <c:pt idx="77">
                  <c:v>795.60583850112505</c:v>
                </c:pt>
                <c:pt idx="78">
                  <c:v>3916.2544901042902</c:v>
                </c:pt>
                <c:pt idx="79">
                  <c:v>861.37862809850401</c:v>
                </c:pt>
                <c:pt idx="80">
                  <c:v>63.560616778974698</c:v>
                </c:pt>
                <c:pt idx="81">
                  <c:v>764.24305054453203</c:v>
                </c:pt>
                <c:pt idx="82">
                  <c:v>11673.7561357512</c:v>
                </c:pt>
                <c:pt idx="83">
                  <c:v>847.644137592113</c:v>
                </c:pt>
                <c:pt idx="84">
                  <c:v>256.50548407913402</c:v>
                </c:pt>
                <c:pt idx="85">
                  <c:v>16408.044902300298</c:v>
                </c:pt>
                <c:pt idx="86">
                  <c:v>601.11869349860399</c:v>
                </c:pt>
                <c:pt idx="87">
                  <c:v>1886.71868303357</c:v>
                </c:pt>
                <c:pt idx="88">
                  <c:v>112.89727150568901</c:v>
                </c:pt>
                <c:pt idx="89">
                  <c:v>662.74341947164703</c:v>
                </c:pt>
                <c:pt idx="90">
                  <c:v>20.027458093186301</c:v>
                </c:pt>
                <c:pt idx="91">
                  <c:v>2711.7549485191798</c:v>
                </c:pt>
                <c:pt idx="92">
                  <c:v>105.849027480212</c:v>
                </c:pt>
                <c:pt idx="93">
                  <c:v>208.904015985196</c:v>
                </c:pt>
                <c:pt idx="94">
                  <c:v>587.87289128144096</c:v>
                </c:pt>
                <c:pt idx="95">
                  <c:v>215.75999258687801</c:v>
                </c:pt>
                <c:pt idx="96">
                  <c:v>207.907619240038</c:v>
                </c:pt>
                <c:pt idx="97">
                  <c:v>67.218960135304997</c:v>
                </c:pt>
                <c:pt idx="98">
                  <c:v>655.55948631639501</c:v>
                </c:pt>
                <c:pt idx="99">
                  <c:v>186.91281392358701</c:v>
                </c:pt>
                <c:pt idx="100">
                  <c:v>550.50625519105699</c:v>
                </c:pt>
                <c:pt idx="101">
                  <c:v>84.714827070049495</c:v>
                </c:pt>
                <c:pt idx="102">
                  <c:v>398.181718106353</c:v>
                </c:pt>
                <c:pt idx="103">
                  <c:v>1184.79170432919</c:v>
                </c:pt>
                <c:pt idx="104">
                  <c:v>11.912932795402201</c:v>
                </c:pt>
                <c:pt idx="105">
                  <c:v>307.21011141482001</c:v>
                </c:pt>
                <c:pt idx="106">
                  <c:v>778.27286169337003</c:v>
                </c:pt>
                <c:pt idx="107">
                  <c:v>10.167580959284001</c:v>
                </c:pt>
                <c:pt idx="108">
                  <c:v>9256.4914810707596</c:v>
                </c:pt>
                <c:pt idx="109">
                  <c:v>2.9216018301751299</c:v>
                </c:pt>
                <c:pt idx="110">
                  <c:v>287.57467430761801</c:v>
                </c:pt>
                <c:pt idx="111">
                  <c:v>450.82585192877201</c:v>
                </c:pt>
                <c:pt idx="112">
                  <c:v>56.527412933344401</c:v>
                </c:pt>
                <c:pt idx="113">
                  <c:v>2183.5113512120001</c:v>
                </c:pt>
                <c:pt idx="114">
                  <c:v>104.824598187958</c:v>
                </c:pt>
                <c:pt idx="115">
                  <c:v>52.509390034478301</c:v>
                </c:pt>
                <c:pt idx="116">
                  <c:v>402.74087851142599</c:v>
                </c:pt>
                <c:pt idx="117">
                  <c:v>255.460277467693</c:v>
                </c:pt>
                <c:pt idx="118">
                  <c:v>96.508629173174896</c:v>
                </c:pt>
                <c:pt idx="119">
                  <c:v>431.24192964703298</c:v>
                </c:pt>
                <c:pt idx="120">
                  <c:v>1152.52626605872</c:v>
                </c:pt>
                <c:pt idx="121">
                  <c:v>192.92082705505999</c:v>
                </c:pt>
                <c:pt idx="122">
                  <c:v>693.36322988850202</c:v>
                </c:pt>
                <c:pt idx="123">
                  <c:v>15367.2468465645</c:v>
                </c:pt>
                <c:pt idx="124">
                  <c:v>479.75687699776699</c:v>
                </c:pt>
                <c:pt idx="125">
                  <c:v>4105.5299997193097</c:v>
                </c:pt>
                <c:pt idx="126">
                  <c:v>1370.07960125306</c:v>
                </c:pt>
                <c:pt idx="127">
                  <c:v>737.81209100601404</c:v>
                </c:pt>
                <c:pt idx="128">
                  <c:v>0.26210837638092499</c:v>
                </c:pt>
                <c:pt idx="129">
                  <c:v>869.13532554833296</c:v>
                </c:pt>
                <c:pt idx="130">
                  <c:v>54.129858101091202</c:v>
                </c:pt>
                <c:pt idx="131">
                  <c:v>4921.9222383178203</c:v>
                </c:pt>
                <c:pt idx="132">
                  <c:v>489.41879450235501</c:v>
                </c:pt>
                <c:pt idx="133">
                  <c:v>3285.4786791787701</c:v>
                </c:pt>
                <c:pt idx="134">
                  <c:v>4253.3275112040501</c:v>
                </c:pt>
                <c:pt idx="135">
                  <c:v>2.19282928843531</c:v>
                </c:pt>
                <c:pt idx="136">
                  <c:v>325.06323595700599</c:v>
                </c:pt>
                <c:pt idx="137">
                  <c:v>6541.1197536698901</c:v>
                </c:pt>
                <c:pt idx="138">
                  <c:v>888.21597590446697</c:v>
                </c:pt>
                <c:pt idx="140">
                  <c:v>2677.7197282031798</c:v>
                </c:pt>
                <c:pt idx="141">
                  <c:v>563.68966225939005</c:v>
                </c:pt>
                <c:pt idx="142">
                  <c:v>122.486674887402</c:v>
                </c:pt>
                <c:pt idx="143">
                  <c:v>31.699471018794799</c:v>
                </c:pt>
                <c:pt idx="144">
                  <c:v>2629.8915751536001</c:v>
                </c:pt>
                <c:pt idx="145">
                  <c:v>12931.8584557587</c:v>
                </c:pt>
                <c:pt idx="146">
                  <c:v>538.32813509834</c:v>
                </c:pt>
                <c:pt idx="147">
                  <c:v>480.41645835758902</c:v>
                </c:pt>
                <c:pt idx="148">
                  <c:v>866.76420474872202</c:v>
                </c:pt>
                <c:pt idx="149">
                  <c:v>972.575297603134</c:v>
                </c:pt>
                <c:pt idx="150">
                  <c:v>250.53995524711499</c:v>
                </c:pt>
                <c:pt idx="151">
                  <c:v>24.6043576673069</c:v>
                </c:pt>
                <c:pt idx="152">
                  <c:v>383.98010954496601</c:v>
                </c:pt>
                <c:pt idx="153">
                  <c:v>556.37188160954304</c:v>
                </c:pt>
                <c:pt idx="154">
                  <c:v>8.9152605827963498</c:v>
                </c:pt>
                <c:pt idx="155">
                  <c:v>446.590981171843</c:v>
                </c:pt>
                <c:pt idx="156">
                  <c:v>1497.13642942502</c:v>
                </c:pt>
                <c:pt idx="157">
                  <c:v>373.90727627102302</c:v>
                </c:pt>
                <c:pt idx="158">
                  <c:v>8.5782257342330706</c:v>
                </c:pt>
                <c:pt idx="159">
                  <c:v>96.596159928059507</c:v>
                </c:pt>
                <c:pt idx="160">
                  <c:v>694.43638601367604</c:v>
                </c:pt>
                <c:pt idx="161">
                  <c:v>523.14192398984096</c:v>
                </c:pt>
                <c:pt idx="162">
                  <c:v>3025.6334244907398</c:v>
                </c:pt>
                <c:pt idx="163">
                  <c:v>74.137825311036394</c:v>
                </c:pt>
                <c:pt idx="164">
                  <c:v>21.4735613686039</c:v>
                </c:pt>
                <c:pt idx="165">
                  <c:v>451.59773684033399</c:v>
                </c:pt>
                <c:pt idx="166">
                  <c:v>639.00781913793196</c:v>
                </c:pt>
                <c:pt idx="167">
                  <c:v>311.93542310603902</c:v>
                </c:pt>
                <c:pt idx="168">
                  <c:v>3567.5789736872698</c:v>
                </c:pt>
                <c:pt idx="169">
                  <c:v>135.57919406447101</c:v>
                </c:pt>
                <c:pt idx="170">
                  <c:v>104.066490642567</c:v>
                </c:pt>
                <c:pt idx="171">
                  <c:v>46.726509679076003</c:v>
                </c:pt>
                <c:pt idx="172">
                  <c:v>10.7224371621956</c:v>
                </c:pt>
                <c:pt idx="173">
                  <c:v>404.49507249478802</c:v>
                </c:pt>
                <c:pt idx="174">
                  <c:v>462.73312507048399</c:v>
                </c:pt>
                <c:pt idx="175">
                  <c:v>5185.3187225927304</c:v>
                </c:pt>
                <c:pt idx="176">
                  <c:v>1964.08543592967</c:v>
                </c:pt>
                <c:pt idx="177">
                  <c:v>2753.9309270239801</c:v>
                </c:pt>
                <c:pt idx="178">
                  <c:v>2454.9682917898999</c:v>
                </c:pt>
                <c:pt idx="179">
                  <c:v>4948.1519587667699</c:v>
                </c:pt>
                <c:pt idx="180">
                  <c:v>842.87199338760604</c:v>
                </c:pt>
                <c:pt idx="181">
                  <c:v>48323.441136884903</c:v>
                </c:pt>
                <c:pt idx="182">
                  <c:v>410.61295790657698</c:v>
                </c:pt>
                <c:pt idx="183">
                  <c:v>47.925433604743503</c:v>
                </c:pt>
                <c:pt idx="184">
                  <c:v>4091.0227984866001</c:v>
                </c:pt>
                <c:pt idx="185">
                  <c:v>2909.9287300608398</c:v>
                </c:pt>
                <c:pt idx="186">
                  <c:v>17.591915550579401</c:v>
                </c:pt>
                <c:pt idx="187">
                  <c:v>538.04459447826298</c:v>
                </c:pt>
                <c:pt idx="188">
                  <c:v>5556.2775276645398</c:v>
                </c:pt>
                <c:pt idx="189">
                  <c:v>702.10467087639699</c:v>
                </c:pt>
                <c:pt idx="190">
                  <c:v>1211.11496567266</c:v>
                </c:pt>
              </c:numCache>
            </c:numRef>
          </c:yVal>
          <c:smooth val="0"/>
          <c:extLst>
            <c:ext xmlns:c16="http://schemas.microsoft.com/office/drawing/2014/chart" uri="{C3380CC4-5D6E-409C-BE32-E72D297353CC}">
              <c16:uniqueId val="{00000000-A819-40FE-95B3-D8649BE793FD}"/>
            </c:ext>
          </c:extLst>
        </c:ser>
        <c:dLbls>
          <c:showLegendKey val="0"/>
          <c:showVal val="0"/>
          <c:showCatName val="0"/>
          <c:showSerName val="0"/>
          <c:showPercent val="0"/>
          <c:showBubbleSize val="0"/>
        </c:dLbls>
        <c:axId val="1898538031"/>
        <c:axId val="1898538511"/>
      </c:scatterChart>
      <c:valAx>
        <c:axId val="189853803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98538511"/>
        <c:crosses val="autoZero"/>
        <c:crossBetween val="midCat"/>
      </c:valAx>
      <c:valAx>
        <c:axId val="18985385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985380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'F3-Sans Extreme'!$D$10</c:f>
              <c:strCache>
                <c:ptCount val="1"/>
                <c:pt idx="0">
                  <c:v>C_PROSTATE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5199638426939371"/>
                  <c:y val="-8.66035127961945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'F3-Sans Extreme'!$C$11:$C$201</c:f>
              <c:numCache>
                <c:formatCode>0.0</c:formatCode>
                <c:ptCount val="191"/>
                <c:pt idx="0">
                  <c:v>21223.554931236798</c:v>
                </c:pt>
                <c:pt idx="1">
                  <c:v>12756.0022394323</c:v>
                </c:pt>
                <c:pt idx="2">
                  <c:v>4688.5100336567903</c:v>
                </c:pt>
                <c:pt idx="3">
                  <c:v>227.35372064325699</c:v>
                </c:pt>
                <c:pt idx="4">
                  <c:v>5458.0944281426</c:v>
                </c:pt>
                <c:pt idx="5">
                  <c:v>84669.003902997807</c:v>
                </c:pt>
                <c:pt idx="6">
                  <c:v>5827.5125193090998</c:v>
                </c:pt>
                <c:pt idx="7">
                  <c:v>137.32379831447301</c:v>
                </c:pt>
                <c:pt idx="8">
                  <c:v>52826.178880462801</c:v>
                </c:pt>
                <c:pt idx="9">
                  <c:v>21920.3933478371</c:v>
                </c:pt>
                <c:pt idx="10">
                  <c:v>11895.287049430401</c:v>
                </c:pt>
                <c:pt idx="11">
                  <c:v>5264.7462096997797</c:v>
                </c:pt>
                <c:pt idx="12">
                  <c:v>33502.707543509503</c:v>
                </c:pt>
                <c:pt idx="13">
                  <c:v>5230.7376415282097</c:v>
                </c:pt>
                <c:pt idx="14">
                  <c:v>10097.7648200812</c:v>
                </c:pt>
                <c:pt idx="15">
                  <c:v>105848.175349777</c:v>
                </c:pt>
                <c:pt idx="16">
                  <c:v>21974.080056639301</c:v>
                </c:pt>
                <c:pt idx="17">
                  <c:v>811.99387042185003</c:v>
                </c:pt>
                <c:pt idx="18">
                  <c:v>576.97280519833396</c:v>
                </c:pt>
                <c:pt idx="19">
                  <c:v>9460.1407673103804</c:v>
                </c:pt>
                <c:pt idx="20">
                  <c:v>19614.034606236</c:v>
                </c:pt>
                <c:pt idx="21">
                  <c:v>298.462478511065</c:v>
                </c:pt>
                <c:pt idx="22">
                  <c:v>14001.154012700399</c:v>
                </c:pt>
                <c:pt idx="23">
                  <c:v>264602.60802118102</c:v>
                </c:pt>
                <c:pt idx="24">
                  <c:v>822.32159718917603</c:v>
                </c:pt>
                <c:pt idx="25">
                  <c:v>523.91798779353599</c:v>
                </c:pt>
                <c:pt idx="26">
                  <c:v>472.275295798473</c:v>
                </c:pt>
                <c:pt idx="27">
                  <c:v>2067.5218055482701</c:v>
                </c:pt>
                <c:pt idx="28">
                  <c:v>2652.4004140150801</c:v>
                </c:pt>
                <c:pt idx="29">
                  <c:v>91934.890905833105</c:v>
                </c:pt>
                <c:pt idx="30">
                  <c:v>19971.3431836091</c:v>
                </c:pt>
                <c:pt idx="31">
                  <c:v>31366.0768440301</c:v>
                </c:pt>
                <c:pt idx="33">
                  <c:v>11552.209012773499</c:v>
                </c:pt>
                <c:pt idx="34">
                  <c:v>14211.264528731501</c:v>
                </c:pt>
                <c:pt idx="35">
                  <c:v>36789.206365169499</c:v>
                </c:pt>
                <c:pt idx="36">
                  <c:v>3354.0906170102799</c:v>
                </c:pt>
                <c:pt idx="37">
                  <c:v>49041.062056724702</c:v>
                </c:pt>
                <c:pt idx="38">
                  <c:v>543.10074216567205</c:v>
                </c:pt>
                <c:pt idx="39">
                  <c:v>715.06120134992796</c:v>
                </c:pt>
                <c:pt idx="40">
                  <c:v>6002.0878066715304</c:v>
                </c:pt>
                <c:pt idx="41">
                  <c:v>27726.162570262499</c:v>
                </c:pt>
                <c:pt idx="42">
                  <c:v>2267.5515939662801</c:v>
                </c:pt>
                <c:pt idx="43">
                  <c:v>30472.286197695299</c:v>
                </c:pt>
                <c:pt idx="44">
                  <c:v>270525.455713187</c:v>
                </c:pt>
                <c:pt idx="45">
                  <c:v>747.77625057515797</c:v>
                </c:pt>
                <c:pt idx="46">
                  <c:v>180.97203272777</c:v>
                </c:pt>
                <c:pt idx="47">
                  <c:v>18316.979979182601</c:v>
                </c:pt>
                <c:pt idx="48">
                  <c:v>10769.5359839045</c:v>
                </c:pt>
                <c:pt idx="49">
                  <c:v>23748.518017003102</c:v>
                </c:pt>
                <c:pt idx="50">
                  <c:v>17552.554804572399</c:v>
                </c:pt>
                <c:pt idx="51">
                  <c:v>57810.378531367103</c:v>
                </c:pt>
                <c:pt idx="52">
                  <c:v>3667.4721765724298</c:v>
                </c:pt>
                <c:pt idx="53">
                  <c:v>123705.218137552</c:v>
                </c:pt>
                <c:pt idx="54">
                  <c:v>3806.4543923227202</c:v>
                </c:pt>
                <c:pt idx="55">
                  <c:v>39482.026461003603</c:v>
                </c:pt>
                <c:pt idx="56">
                  <c:v>14337.094557842</c:v>
                </c:pt>
                <c:pt idx="57">
                  <c:v>806.35077182899704</c:v>
                </c:pt>
                <c:pt idx="58">
                  <c:v>194363.075634051</c:v>
                </c:pt>
                <c:pt idx="59">
                  <c:v>1431.29375792363</c:v>
                </c:pt>
                <c:pt idx="60">
                  <c:v>193721.48187383299</c:v>
                </c:pt>
                <c:pt idx="61">
                  <c:v>8315.2061895011702</c:v>
                </c:pt>
                <c:pt idx="62">
                  <c:v>18454.344158522399</c:v>
                </c:pt>
                <c:pt idx="63">
                  <c:v>8408.5701131387395</c:v>
                </c:pt>
                <c:pt idx="64">
                  <c:v>1066.1659946360301</c:v>
                </c:pt>
                <c:pt idx="65">
                  <c:v>973.74248934990896</c:v>
                </c:pt>
                <c:pt idx="66">
                  <c:v>599.68380363738402</c:v>
                </c:pt>
                <c:pt idx="67">
                  <c:v>34755.710642395898</c:v>
                </c:pt>
                <c:pt idx="68">
                  <c:v>186.330290215529</c:v>
                </c:pt>
                <c:pt idx="69">
                  <c:v>12565.1277968288</c:v>
                </c:pt>
                <c:pt idx="70">
                  <c:v>778.160723300585</c:v>
                </c:pt>
                <c:pt idx="71">
                  <c:v>7700.1528482245703</c:v>
                </c:pt>
                <c:pt idx="72">
                  <c:v>13864.0813541813</c:v>
                </c:pt>
                <c:pt idx="73">
                  <c:v>10489.414783647</c:v>
                </c:pt>
                <c:pt idx="74">
                  <c:v>34033.262040981397</c:v>
                </c:pt>
                <c:pt idx="75">
                  <c:v>228890.08847959101</c:v>
                </c:pt>
                <c:pt idx="76">
                  <c:v>929554.75797354395</c:v>
                </c:pt>
                <c:pt idx="77">
                  <c:v>10257.785633927</c:v>
                </c:pt>
                <c:pt idx="78">
                  <c:v>66679.786095134201</c:v>
                </c:pt>
                <c:pt idx="79">
                  <c:v>24381.343741622401</c:v>
                </c:pt>
                <c:pt idx="80">
                  <c:v>648.96887472205799</c:v>
                </c:pt>
                <c:pt idx="81">
                  <c:v>14445.7849374827</c:v>
                </c:pt>
                <c:pt idx="82">
                  <c:v>189150.086489245</c:v>
                </c:pt>
                <c:pt idx="83">
                  <c:v>4316.7158154213002</c:v>
                </c:pt>
                <c:pt idx="84">
                  <c:v>5631.5415858677197</c:v>
                </c:pt>
                <c:pt idx="85">
                  <c:v>437745.52509406599</c:v>
                </c:pt>
                <c:pt idx="86">
                  <c:v>21028.913892860099</c:v>
                </c:pt>
                <c:pt idx="87">
                  <c:v>23224.784181685402</c:v>
                </c:pt>
                <c:pt idx="88">
                  <c:v>4143.3708793672804</c:v>
                </c:pt>
                <c:pt idx="89">
                  <c:v>14517.4813603439</c:v>
                </c:pt>
                <c:pt idx="90">
                  <c:v>98.760821735780297</c:v>
                </c:pt>
                <c:pt idx="91">
                  <c:v>103436.73109983699</c:v>
                </c:pt>
                <c:pt idx="92">
                  <c:v>1648.2314336076799</c:v>
                </c:pt>
                <c:pt idx="93">
                  <c:v>4963.1705754886598</c:v>
                </c:pt>
                <c:pt idx="94">
                  <c:v>7480.1544665812899</c:v>
                </c:pt>
                <c:pt idx="95">
                  <c:v>2047.3084252272999</c:v>
                </c:pt>
                <c:pt idx="96">
                  <c:v>5423.5638815948396</c:v>
                </c:pt>
                <c:pt idx="97">
                  <c:v>302.26534926483703</c:v>
                </c:pt>
                <c:pt idx="98">
                  <c:v>18661.3863969503</c:v>
                </c:pt>
                <c:pt idx="99">
                  <c:v>2210.7702013766502</c:v>
                </c:pt>
                <c:pt idx="100">
                  <c:v>7812.30295975835</c:v>
                </c:pt>
                <c:pt idx="101">
                  <c:v>1284.4415231235</c:v>
                </c:pt>
                <c:pt idx="102">
                  <c:v>5557.0250390482797</c:v>
                </c:pt>
                <c:pt idx="103">
                  <c:v>27902.930901096599</c:v>
                </c:pt>
                <c:pt idx="104">
                  <c:v>224.502519106178</c:v>
                </c:pt>
                <c:pt idx="105">
                  <c:v>6235.0640717139904</c:v>
                </c:pt>
                <c:pt idx="106">
                  <c:v>10990.903223797801</c:v>
                </c:pt>
                <c:pt idx="107">
                  <c:v>211.784379782282</c:v>
                </c:pt>
                <c:pt idx="108">
                  <c:v>105590.82140398301</c:v>
                </c:pt>
                <c:pt idx="109">
                  <c:v>53.468051537794899</c:v>
                </c:pt>
                <c:pt idx="110">
                  <c:v>5424.1096851565999</c:v>
                </c:pt>
                <c:pt idx="111">
                  <c:v>9310.8214184401404</c:v>
                </c:pt>
                <c:pt idx="112">
                  <c:v>987.79240414974197</c:v>
                </c:pt>
                <c:pt idx="113">
                  <c:v>52543.365462156296</c:v>
                </c:pt>
                <c:pt idx="114">
                  <c:v>1641.76449090195</c:v>
                </c:pt>
                <c:pt idx="115">
                  <c:v>5957.9126048569597</c:v>
                </c:pt>
                <c:pt idx="116">
                  <c:v>13501.3285861978</c:v>
                </c:pt>
                <c:pt idx="117">
                  <c:v>2056.0354819110198</c:v>
                </c:pt>
                <c:pt idx="118">
                  <c:v>1510.16062765418</c:v>
                </c:pt>
                <c:pt idx="119">
                  <c:v>10091.910744499701</c:v>
                </c:pt>
                <c:pt idx="120">
                  <c:v>31051.123631711002</c:v>
                </c:pt>
                <c:pt idx="121">
                  <c:v>1591.7460853985699</c:v>
                </c:pt>
                <c:pt idx="122">
                  <c:v>6958.3828945098003</c:v>
                </c:pt>
                <c:pt idx="123">
                  <c:v>81229.585036301607</c:v>
                </c:pt>
                <c:pt idx="124">
                  <c:v>4407.0025538592799</c:v>
                </c:pt>
                <c:pt idx="125">
                  <c:v>55905.768469484901</c:v>
                </c:pt>
                <c:pt idx="126">
                  <c:v>12574.471909382901</c:v>
                </c:pt>
                <c:pt idx="127">
                  <c:v>21551.208112875502</c:v>
                </c:pt>
                <c:pt idx="128">
                  <c:v>7.6123431385470104</c:v>
                </c:pt>
                <c:pt idx="129">
                  <c:v>10439.1705335713</c:v>
                </c:pt>
                <c:pt idx="130">
                  <c:v>1363.21810181249</c:v>
                </c:pt>
                <c:pt idx="131">
                  <c:v>179465.20692758</c:v>
                </c:pt>
                <c:pt idx="132">
                  <c:v>3954.0224758561999</c:v>
                </c:pt>
                <c:pt idx="133">
                  <c:v>33336.762224528597</c:v>
                </c:pt>
                <c:pt idx="134">
                  <c:v>81126.308336325994</c:v>
                </c:pt>
                <c:pt idx="135">
                  <c:v>35.592063299331798</c:v>
                </c:pt>
                <c:pt idx="136">
                  <c:v>5627.7668480006196</c:v>
                </c:pt>
                <c:pt idx="137">
                  <c:v>121239.36194454999</c:v>
                </c:pt>
                <c:pt idx="138">
                  <c:v>6877.4159984671596</c:v>
                </c:pt>
                <c:pt idx="139">
                  <c:v>40791.8856403342</c:v>
                </c:pt>
                <c:pt idx="140">
                  <c:v>31145.443991860298</c:v>
                </c:pt>
                <c:pt idx="141">
                  <c:v>6120.08537813356</c:v>
                </c:pt>
                <c:pt idx="142">
                  <c:v>2902.7198594118499</c:v>
                </c:pt>
                <c:pt idx="143">
                  <c:v>828.34303718153706</c:v>
                </c:pt>
                <c:pt idx="144">
                  <c:v>52482.0739374759</c:v>
                </c:pt>
                <c:pt idx="145">
                  <c:v>296085.16024611902</c:v>
                </c:pt>
                <c:pt idx="146">
                  <c:v>7126.35827789003</c:v>
                </c:pt>
                <c:pt idx="147">
                  <c:v>13073.304992552199</c:v>
                </c:pt>
                <c:pt idx="148">
                  <c:v>17067.794524586101</c:v>
                </c:pt>
                <c:pt idx="149">
                  <c:v>8183.6877166540698</c:v>
                </c:pt>
                <c:pt idx="150">
                  <c:v>6947.5793669957902</c:v>
                </c:pt>
                <c:pt idx="151">
                  <c:v>648.25002854184004</c:v>
                </c:pt>
                <c:pt idx="152">
                  <c:v>3790.4861576542398</c:v>
                </c:pt>
                <c:pt idx="153">
                  <c:v>5889.9227111936498</c:v>
                </c:pt>
                <c:pt idx="154">
                  <c:v>116.304699156328</c:v>
                </c:pt>
                <c:pt idx="155">
                  <c:v>7982.0892564558098</c:v>
                </c:pt>
                <c:pt idx="156">
                  <c:v>28333.957563081</c:v>
                </c:pt>
                <c:pt idx="157">
                  <c:v>4128.7615134338203</c:v>
                </c:pt>
                <c:pt idx="158">
                  <c:v>144.676449842869</c:v>
                </c:pt>
                <c:pt idx="159">
                  <c:v>712.96995501855804</c:v>
                </c:pt>
                <c:pt idx="160">
                  <c:v>13880.17271558</c:v>
                </c:pt>
                <c:pt idx="161">
                  <c:v>6308.4320453632299</c:v>
                </c:pt>
                <c:pt idx="162">
                  <c:v>26188.628795694302</c:v>
                </c:pt>
                <c:pt idx="163">
                  <c:v>975.64812097484605</c:v>
                </c:pt>
                <c:pt idx="164">
                  <c:v>180.86318233930399</c:v>
                </c:pt>
                <c:pt idx="165">
                  <c:v>8758.0978715991096</c:v>
                </c:pt>
                <c:pt idx="166">
                  <c:v>6233.1208134381004</c:v>
                </c:pt>
                <c:pt idx="167">
                  <c:v>3821.7262444008702</c:v>
                </c:pt>
                <c:pt idx="168">
                  <c:v>115352.595586458</c:v>
                </c:pt>
                <c:pt idx="169">
                  <c:v>5360.6017137598601</c:v>
                </c:pt>
                <c:pt idx="170">
                  <c:v>3628.65235630078</c:v>
                </c:pt>
                <c:pt idx="171">
                  <c:v>822.15935374213404</c:v>
                </c:pt>
                <c:pt idx="172">
                  <c:v>126.68426851619699</c:v>
                </c:pt>
                <c:pt idx="173">
                  <c:v>2002.81426663976</c:v>
                </c:pt>
                <c:pt idx="174">
                  <c:v>10085.635310713</c:v>
                </c:pt>
                <c:pt idx="175">
                  <c:v>104075.19832607001</c:v>
                </c:pt>
                <c:pt idx="176">
                  <c:v>56742.424150401697</c:v>
                </c:pt>
                <c:pt idx="177">
                  <c:v>31337.2211565744</c:v>
                </c:pt>
                <c:pt idx="178">
                  <c:v>21608.891448420301</c:v>
                </c:pt>
                <c:pt idx="179">
                  <c:v>99052.960653552</c:v>
                </c:pt>
                <c:pt idx="180">
                  <c:v>10017.1340957023</c:v>
                </c:pt>
                <c:pt idx="181">
                  <c:v>763146.23482239398</c:v>
                </c:pt>
                <c:pt idx="182">
                  <c:v>22304.9780568274</c:v>
                </c:pt>
                <c:pt idx="183">
                  <c:v>206.42668892345901</c:v>
                </c:pt>
                <c:pt idx="184">
                  <c:v>34499.8099228887</c:v>
                </c:pt>
                <c:pt idx="185">
                  <c:v>112271.02173162901</c:v>
                </c:pt>
                <c:pt idx="186">
                  <c:v>224.72169721485099</c:v>
                </c:pt>
                <c:pt idx="187">
                  <c:v>12660.2495513799</c:v>
                </c:pt>
                <c:pt idx="188">
                  <c:v>54573.5869925484</c:v>
                </c:pt>
                <c:pt idx="189">
                  <c:v>9767.5175758834794</c:v>
                </c:pt>
                <c:pt idx="190">
                  <c:v>12314.563595838301</c:v>
                </c:pt>
              </c:numCache>
            </c:numRef>
          </c:xVal>
          <c:yVal>
            <c:numRef>
              <c:f>'F3-Sans Extreme'!$D$11:$D$201</c:f>
              <c:numCache>
                <c:formatCode>0.0</c:formatCode>
                <c:ptCount val="191"/>
                <c:pt idx="0">
                  <c:v>505.17652371630498</c:v>
                </c:pt>
                <c:pt idx="1">
                  <c:v>910.43033304833898</c:v>
                </c:pt>
                <c:pt idx="2">
                  <c:v>386.75371667154099</c:v>
                </c:pt>
                <c:pt idx="3">
                  <c:v>14.6737928461301</c:v>
                </c:pt>
                <c:pt idx="4">
                  <c:v>126.674101015093</c:v>
                </c:pt>
                <c:pt idx="5">
                  <c:v>6372.1748897157304</c:v>
                </c:pt>
                <c:pt idx="6">
                  <c:v>284.810310479755</c:v>
                </c:pt>
                <c:pt idx="7">
                  <c:v>30.9823512810332</c:v>
                </c:pt>
                <c:pt idx="8">
                  <c:v>4539.2850214738401</c:v>
                </c:pt>
                <c:pt idx="9">
                  <c:v>1693.07495840925</c:v>
                </c:pt>
                <c:pt idx="10">
                  <c:v>405.27534259762598</c:v>
                </c:pt>
                <c:pt idx="11">
                  <c:v>422.65744934338898</c:v>
                </c:pt>
                <c:pt idx="12">
                  <c:v>2532.7298221246301</c:v>
                </c:pt>
                <c:pt idx="13">
                  <c:v>501.45681173603498</c:v>
                </c:pt>
                <c:pt idx="14">
                  <c:v>870.36589778621601</c:v>
                </c:pt>
                <c:pt idx="15">
                  <c:v>4430.4182676628698</c:v>
                </c:pt>
                <c:pt idx="16">
                  <c:v>1332.0178101301501</c:v>
                </c:pt>
                <c:pt idx="17">
                  <c:v>36.309474340325004</c:v>
                </c:pt>
                <c:pt idx="18">
                  <c:v>99.111681179182995</c:v>
                </c:pt>
                <c:pt idx="19">
                  <c:v>463.99604866476898</c:v>
                </c:pt>
                <c:pt idx="20">
                  <c:v>1042.04408231774</c:v>
                </c:pt>
                <c:pt idx="21">
                  <c:v>45.334341037760801</c:v>
                </c:pt>
                <c:pt idx="22">
                  <c:v>1296.8422350015401</c:v>
                </c:pt>
                <c:pt idx="23">
                  <c:v>23340.873493632102</c:v>
                </c:pt>
                <c:pt idx="24">
                  <c:v>174.687599588854</c:v>
                </c:pt>
                <c:pt idx="25">
                  <c:v>13.336508862101599</c:v>
                </c:pt>
                <c:pt idx="26">
                  <c:v>23.205078841098601</c:v>
                </c:pt>
                <c:pt idx="27">
                  <c:v>193.156267107453</c:v>
                </c:pt>
                <c:pt idx="28">
                  <c:v>147.53043634543599</c:v>
                </c:pt>
                <c:pt idx="29">
                  <c:v>6523.06951032705</c:v>
                </c:pt>
                <c:pt idx="30">
                  <c:v>1912.2750785298699</c:v>
                </c:pt>
                <c:pt idx="31">
                  <c:v>2888.3421546527002</c:v>
                </c:pt>
                <c:pt idx="32">
                  <c:v>54390.875089943504</c:v>
                </c:pt>
                <c:pt idx="33">
                  <c:v>1099.90436693216</c:v>
                </c:pt>
                <c:pt idx="34">
                  <c:v>1378.96624912372</c:v>
                </c:pt>
                <c:pt idx="35">
                  <c:v>2573.5685227491699</c:v>
                </c:pt>
                <c:pt idx="36">
                  <c:v>249.25729526765301</c:v>
                </c:pt>
                <c:pt idx="37">
                  <c:v>4459.8895407192504</c:v>
                </c:pt>
                <c:pt idx="38">
                  <c:v>52.807487824087197</c:v>
                </c:pt>
                <c:pt idx="39">
                  <c:v>106.620824551841</c:v>
                </c:pt>
                <c:pt idx="40">
                  <c:v>570.18360990437395</c:v>
                </c:pt>
                <c:pt idx="41">
                  <c:v>3396.7453691979499</c:v>
                </c:pt>
                <c:pt idx="42">
                  <c:v>186.33245510144201</c:v>
                </c:pt>
                <c:pt idx="43">
                  <c:v>1888.9079814701799</c:v>
                </c:pt>
                <c:pt idx="44">
                  <c:v>20146.0984868249</c:v>
                </c:pt>
                <c:pt idx="45">
                  <c:v>67.539026217961606</c:v>
                </c:pt>
                <c:pt idx="46">
                  <c:v>50.385946478337999</c:v>
                </c:pt>
                <c:pt idx="47">
                  <c:v>1707.82133803648</c:v>
                </c:pt>
                <c:pt idx="48">
                  <c:v>1686.5644130042299</c:v>
                </c:pt>
                <c:pt idx="49">
                  <c:v>1279.89475965422</c:v>
                </c:pt>
                <c:pt idx="50">
                  <c:v>1678.7307257729201</c:v>
                </c:pt>
                <c:pt idx="51">
                  <c:v>1807.66637698984</c:v>
                </c:pt>
                <c:pt idx="52">
                  <c:v>190.25102118942399</c:v>
                </c:pt>
                <c:pt idx="53">
                  <c:v>8405.84165336755</c:v>
                </c:pt>
                <c:pt idx="54">
                  <c:v>280.16905741908101</c:v>
                </c:pt>
                <c:pt idx="55">
                  <c:v>2292.18300331007</c:v>
                </c:pt>
                <c:pt idx="56">
                  <c:v>1293.76893449261</c:v>
                </c:pt>
                <c:pt idx="57">
                  <c:v>50.457348704664298</c:v>
                </c:pt>
                <c:pt idx="58">
                  <c:v>14501.954474764199</c:v>
                </c:pt>
                <c:pt idx="59">
                  <c:v>116.89187871055201</c:v>
                </c:pt>
                <c:pt idx="60">
                  <c:v>15967.932902537699</c:v>
                </c:pt>
                <c:pt idx="61">
                  <c:v>459.36483344609798</c:v>
                </c:pt>
                <c:pt idx="62">
                  <c:v>2133.4887003624299</c:v>
                </c:pt>
                <c:pt idx="63">
                  <c:v>799.53174772092598</c:v>
                </c:pt>
                <c:pt idx="64">
                  <c:v>38.557988117518498</c:v>
                </c:pt>
                <c:pt idx="65">
                  <c:v>71.678562477335106</c:v>
                </c:pt>
                <c:pt idx="66">
                  <c:v>46.195465842142497</c:v>
                </c:pt>
                <c:pt idx="67">
                  <c:v>2684.6925820637198</c:v>
                </c:pt>
                <c:pt idx="68">
                  <c:v>36.8439427525404</c:v>
                </c:pt>
                <c:pt idx="69">
                  <c:v>1250.4515423503101</c:v>
                </c:pt>
                <c:pt idx="70">
                  <c:v>128.80979801351901</c:v>
                </c:pt>
                <c:pt idx="71">
                  <c:v>521.19903681663402</c:v>
                </c:pt>
                <c:pt idx="72">
                  <c:v>913.85945802588003</c:v>
                </c:pt>
                <c:pt idx="73">
                  <c:v>1379.13589458969</c:v>
                </c:pt>
                <c:pt idx="74">
                  <c:v>1565.7270908102</c:v>
                </c:pt>
                <c:pt idx="75">
                  <c:v>11407.069864634001</c:v>
                </c:pt>
                <c:pt idx="76">
                  <c:v>32107.145508504102</c:v>
                </c:pt>
                <c:pt idx="77">
                  <c:v>795.60583850112505</c:v>
                </c:pt>
                <c:pt idx="78">
                  <c:v>3916.2544901042902</c:v>
                </c:pt>
                <c:pt idx="79">
                  <c:v>861.37862809850401</c:v>
                </c:pt>
                <c:pt idx="80">
                  <c:v>63.560616778974698</c:v>
                </c:pt>
                <c:pt idx="81">
                  <c:v>764.24305054453203</c:v>
                </c:pt>
                <c:pt idx="82">
                  <c:v>11673.7561357512</c:v>
                </c:pt>
                <c:pt idx="83">
                  <c:v>847.644137592113</c:v>
                </c:pt>
                <c:pt idx="84">
                  <c:v>256.50548407913402</c:v>
                </c:pt>
                <c:pt idx="85">
                  <c:v>16408.044902300298</c:v>
                </c:pt>
                <c:pt idx="86">
                  <c:v>601.11869349860399</c:v>
                </c:pt>
                <c:pt idx="87">
                  <c:v>1886.71868303357</c:v>
                </c:pt>
                <c:pt idx="88">
                  <c:v>112.89727150568901</c:v>
                </c:pt>
                <c:pt idx="89">
                  <c:v>662.74341947164703</c:v>
                </c:pt>
                <c:pt idx="90">
                  <c:v>20.027458093186301</c:v>
                </c:pt>
                <c:pt idx="91">
                  <c:v>2711.7549485191798</c:v>
                </c:pt>
                <c:pt idx="92">
                  <c:v>105.849027480212</c:v>
                </c:pt>
                <c:pt idx="93">
                  <c:v>208.904015985196</c:v>
                </c:pt>
                <c:pt idx="94">
                  <c:v>587.87289128144096</c:v>
                </c:pt>
                <c:pt idx="95">
                  <c:v>215.75999258687801</c:v>
                </c:pt>
                <c:pt idx="96">
                  <c:v>207.907619240038</c:v>
                </c:pt>
                <c:pt idx="97">
                  <c:v>67.218960135304997</c:v>
                </c:pt>
                <c:pt idx="98">
                  <c:v>655.55948631639501</c:v>
                </c:pt>
                <c:pt idx="99">
                  <c:v>186.91281392358701</c:v>
                </c:pt>
                <c:pt idx="100">
                  <c:v>550.50625519105699</c:v>
                </c:pt>
                <c:pt idx="101">
                  <c:v>84.714827070049495</c:v>
                </c:pt>
                <c:pt idx="102">
                  <c:v>398.181718106353</c:v>
                </c:pt>
                <c:pt idx="103">
                  <c:v>1184.79170432919</c:v>
                </c:pt>
                <c:pt idx="104">
                  <c:v>11.912932795402201</c:v>
                </c:pt>
                <c:pt idx="105">
                  <c:v>307.21011141482001</c:v>
                </c:pt>
                <c:pt idx="106">
                  <c:v>778.27286169337003</c:v>
                </c:pt>
                <c:pt idx="107">
                  <c:v>10.167580959284001</c:v>
                </c:pt>
                <c:pt idx="108">
                  <c:v>9256.4914810707596</c:v>
                </c:pt>
                <c:pt idx="109">
                  <c:v>2.9216018301751299</c:v>
                </c:pt>
                <c:pt idx="110">
                  <c:v>287.57467430761801</c:v>
                </c:pt>
                <c:pt idx="111">
                  <c:v>450.82585192877201</c:v>
                </c:pt>
                <c:pt idx="112">
                  <c:v>56.527412933344401</c:v>
                </c:pt>
                <c:pt idx="113">
                  <c:v>2183.5113512120001</c:v>
                </c:pt>
                <c:pt idx="114">
                  <c:v>104.824598187958</c:v>
                </c:pt>
                <c:pt idx="115">
                  <c:v>52.509390034478301</c:v>
                </c:pt>
                <c:pt idx="116">
                  <c:v>402.74087851142599</c:v>
                </c:pt>
                <c:pt idx="117">
                  <c:v>255.460277467693</c:v>
                </c:pt>
                <c:pt idx="118">
                  <c:v>96.508629173174896</c:v>
                </c:pt>
                <c:pt idx="119">
                  <c:v>431.24192964703298</c:v>
                </c:pt>
                <c:pt idx="120">
                  <c:v>1152.52626605872</c:v>
                </c:pt>
                <c:pt idx="121">
                  <c:v>192.92082705505999</c:v>
                </c:pt>
                <c:pt idx="122">
                  <c:v>693.36322988850202</c:v>
                </c:pt>
                <c:pt idx="123">
                  <c:v>15367.2468465645</c:v>
                </c:pt>
                <c:pt idx="124">
                  <c:v>479.75687699776699</c:v>
                </c:pt>
                <c:pt idx="125">
                  <c:v>4105.5299997193097</c:v>
                </c:pt>
                <c:pt idx="126">
                  <c:v>1370.07960125306</c:v>
                </c:pt>
                <c:pt idx="127">
                  <c:v>737.81209100601404</c:v>
                </c:pt>
                <c:pt idx="128">
                  <c:v>0.26210837638092499</c:v>
                </c:pt>
                <c:pt idx="129">
                  <c:v>869.13532554833296</c:v>
                </c:pt>
                <c:pt idx="130">
                  <c:v>54.129858101091202</c:v>
                </c:pt>
                <c:pt idx="131">
                  <c:v>4921.9222383178203</c:v>
                </c:pt>
                <c:pt idx="132">
                  <c:v>489.41879450235501</c:v>
                </c:pt>
                <c:pt idx="133">
                  <c:v>3285.4786791787701</c:v>
                </c:pt>
                <c:pt idx="134">
                  <c:v>4253.3275112040501</c:v>
                </c:pt>
                <c:pt idx="135">
                  <c:v>2.19282928843531</c:v>
                </c:pt>
                <c:pt idx="136">
                  <c:v>325.06323595700599</c:v>
                </c:pt>
                <c:pt idx="137">
                  <c:v>6541.1197536698901</c:v>
                </c:pt>
                <c:pt idx="138">
                  <c:v>888.21597590446697</c:v>
                </c:pt>
                <c:pt idx="139">
                  <c:v>2669.6248306842754</c:v>
                </c:pt>
                <c:pt idx="140">
                  <c:v>2677.7197282031798</c:v>
                </c:pt>
                <c:pt idx="141">
                  <c:v>563.68966225939005</c:v>
                </c:pt>
                <c:pt idx="142">
                  <c:v>122.486674887402</c:v>
                </c:pt>
                <c:pt idx="143">
                  <c:v>31.699471018794799</c:v>
                </c:pt>
                <c:pt idx="144">
                  <c:v>2629.8915751536001</c:v>
                </c:pt>
                <c:pt idx="145">
                  <c:v>12931.8584557587</c:v>
                </c:pt>
                <c:pt idx="146">
                  <c:v>538.32813509834</c:v>
                </c:pt>
                <c:pt idx="147">
                  <c:v>480.41645835758902</c:v>
                </c:pt>
                <c:pt idx="148">
                  <c:v>866.76420474872202</c:v>
                </c:pt>
                <c:pt idx="149">
                  <c:v>972.575297603134</c:v>
                </c:pt>
                <c:pt idx="150">
                  <c:v>250.53995524711499</c:v>
                </c:pt>
                <c:pt idx="151">
                  <c:v>24.6043576673069</c:v>
                </c:pt>
                <c:pt idx="152">
                  <c:v>383.98010954496601</c:v>
                </c:pt>
                <c:pt idx="153">
                  <c:v>556.37188160954304</c:v>
                </c:pt>
                <c:pt idx="154">
                  <c:v>8.9152605827963498</c:v>
                </c:pt>
                <c:pt idx="155">
                  <c:v>446.590981171843</c:v>
                </c:pt>
                <c:pt idx="156">
                  <c:v>1497.13642942502</c:v>
                </c:pt>
                <c:pt idx="157">
                  <c:v>373.90727627102302</c:v>
                </c:pt>
                <c:pt idx="158">
                  <c:v>8.5782257342330706</c:v>
                </c:pt>
                <c:pt idx="159">
                  <c:v>96.596159928059507</c:v>
                </c:pt>
                <c:pt idx="160">
                  <c:v>694.43638601367604</c:v>
                </c:pt>
                <c:pt idx="161">
                  <c:v>523.14192398984096</c:v>
                </c:pt>
                <c:pt idx="162">
                  <c:v>3025.6334244907398</c:v>
                </c:pt>
                <c:pt idx="163">
                  <c:v>74.137825311036394</c:v>
                </c:pt>
                <c:pt idx="164">
                  <c:v>21.4735613686039</c:v>
                </c:pt>
                <c:pt idx="165">
                  <c:v>451.59773684033399</c:v>
                </c:pt>
                <c:pt idx="166">
                  <c:v>639.00781913793196</c:v>
                </c:pt>
                <c:pt idx="167">
                  <c:v>311.93542310603902</c:v>
                </c:pt>
                <c:pt idx="168">
                  <c:v>3567.5789736872698</c:v>
                </c:pt>
                <c:pt idx="169">
                  <c:v>135.57919406447101</c:v>
                </c:pt>
                <c:pt idx="170">
                  <c:v>104.066490642567</c:v>
                </c:pt>
                <c:pt idx="171">
                  <c:v>46.726509679076003</c:v>
                </c:pt>
                <c:pt idx="172">
                  <c:v>10.7224371621956</c:v>
                </c:pt>
                <c:pt idx="173">
                  <c:v>404.49507249478802</c:v>
                </c:pt>
                <c:pt idx="174">
                  <c:v>462.73312507048399</c:v>
                </c:pt>
                <c:pt idx="175">
                  <c:v>5185.3187225927304</c:v>
                </c:pt>
                <c:pt idx="176">
                  <c:v>1964.08543592967</c:v>
                </c:pt>
                <c:pt idx="177">
                  <c:v>2753.9309270239801</c:v>
                </c:pt>
                <c:pt idx="178">
                  <c:v>2454.9682917898999</c:v>
                </c:pt>
                <c:pt idx="179">
                  <c:v>4948.1519587667699</c:v>
                </c:pt>
                <c:pt idx="180">
                  <c:v>842.87199338760604</c:v>
                </c:pt>
                <c:pt idx="181">
                  <c:v>48323.441136884903</c:v>
                </c:pt>
                <c:pt idx="182">
                  <c:v>410.61295790657698</c:v>
                </c:pt>
                <c:pt idx="183">
                  <c:v>47.925433604743503</c:v>
                </c:pt>
                <c:pt idx="184">
                  <c:v>4091.0227984866001</c:v>
                </c:pt>
                <c:pt idx="185">
                  <c:v>2909.9287300608398</c:v>
                </c:pt>
                <c:pt idx="186">
                  <c:v>17.591915550579401</c:v>
                </c:pt>
                <c:pt idx="187">
                  <c:v>538.04459447826298</c:v>
                </c:pt>
                <c:pt idx="188">
                  <c:v>5556.2775276645398</c:v>
                </c:pt>
                <c:pt idx="189">
                  <c:v>702.10467087639699</c:v>
                </c:pt>
                <c:pt idx="190">
                  <c:v>1211.11496567266</c:v>
                </c:pt>
              </c:numCache>
            </c:numRef>
          </c:yVal>
          <c:smooth val="0"/>
          <c:extLst>
            <c:ext xmlns:c16="http://schemas.microsoft.com/office/drawing/2014/chart" uri="{C3380CC4-5D6E-409C-BE32-E72D297353CC}">
              <c16:uniqueId val="{00000000-A04C-443E-84AA-131F16187B29}"/>
            </c:ext>
          </c:extLst>
        </c:ser>
        <c:dLbls>
          <c:showLegendKey val="0"/>
          <c:showVal val="0"/>
          <c:showCatName val="0"/>
          <c:showSerName val="0"/>
          <c:showPercent val="0"/>
          <c:showBubbleSize val="0"/>
        </c:dLbls>
        <c:axId val="1120703776"/>
        <c:axId val="1120710976"/>
      </c:scatterChart>
      <c:valAx>
        <c:axId val="11207037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0710976"/>
        <c:crosses val="autoZero"/>
        <c:crossBetween val="midCat"/>
      </c:valAx>
      <c:valAx>
        <c:axId val="1120710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07037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'F4'!$D$10</c:f>
              <c:strCache>
                <c:ptCount val="1"/>
                <c:pt idx="0">
                  <c:v>LEB_H</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387625597433232"/>
                  <c:y val="-5.901736286430400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'F4'!$C$11:$C$207</c:f>
              <c:numCache>
                <c:formatCode>0.0</c:formatCode>
                <c:ptCount val="197"/>
                <c:pt idx="0">
                  <c:v>81.073999999999998</c:v>
                </c:pt>
                <c:pt idx="1">
                  <c:v>60.646000000000001</c:v>
                </c:pt>
                <c:pt idx="2">
                  <c:v>82.462000000000003</c:v>
                </c:pt>
                <c:pt idx="3">
                  <c:v>81.194999999999993</c:v>
                </c:pt>
                <c:pt idx="4">
                  <c:v>52.77</c:v>
                </c:pt>
                <c:pt idx="5">
                  <c:v>77.204999999999998</c:v>
                </c:pt>
                <c:pt idx="6">
                  <c:v>83.4</c:v>
                </c:pt>
                <c:pt idx="7">
                  <c:v>84.5</c:v>
                </c:pt>
                <c:pt idx="8">
                  <c:v>63.295000000000002</c:v>
                </c:pt>
                <c:pt idx="9">
                  <c:v>78.911000000000001</c:v>
                </c:pt>
                <c:pt idx="10">
                  <c:v>84.5</c:v>
                </c:pt>
                <c:pt idx="11">
                  <c:v>84.3</c:v>
                </c:pt>
                <c:pt idx="12">
                  <c:v>83.058000000000007</c:v>
                </c:pt>
                <c:pt idx="13">
                  <c:v>83.5</c:v>
                </c:pt>
                <c:pt idx="14">
                  <c:v>72.141999999999996</c:v>
                </c:pt>
                <c:pt idx="15">
                  <c:v>79.897999999999996</c:v>
                </c:pt>
                <c:pt idx="16">
                  <c:v>83.1</c:v>
                </c:pt>
                <c:pt idx="17">
                  <c:v>85.7</c:v>
                </c:pt>
                <c:pt idx="18">
                  <c:v>84.1</c:v>
                </c:pt>
                <c:pt idx="19">
                  <c:v>60.298000000000002</c:v>
                </c:pt>
                <c:pt idx="20">
                  <c:v>65.266999999999996</c:v>
                </c:pt>
                <c:pt idx="21">
                  <c:v>84.8</c:v>
                </c:pt>
                <c:pt idx="22">
                  <c:v>71.736999999999995</c:v>
                </c:pt>
                <c:pt idx="23">
                  <c:v>59.94</c:v>
                </c:pt>
                <c:pt idx="24">
                  <c:v>81.454999999999998</c:v>
                </c:pt>
                <c:pt idx="25">
                  <c:v>64.251000000000005</c:v>
                </c:pt>
                <c:pt idx="26">
                  <c:v>82.9</c:v>
                </c:pt>
                <c:pt idx="27">
                  <c:v>82.488</c:v>
                </c:pt>
                <c:pt idx="28">
                  <c:v>81.790000000000006</c:v>
                </c:pt>
                <c:pt idx="29">
                  <c:v>61.353999999999999</c:v>
                </c:pt>
                <c:pt idx="30">
                  <c:v>72.914000000000001</c:v>
                </c:pt>
                <c:pt idx="31">
                  <c:v>84.9</c:v>
                </c:pt>
                <c:pt idx="32">
                  <c:v>84.6</c:v>
                </c:pt>
                <c:pt idx="33">
                  <c:v>74.346000000000004</c:v>
                </c:pt>
                <c:pt idx="34">
                  <c:v>82.281000000000006</c:v>
                </c:pt>
                <c:pt idx="35">
                  <c:v>85.5</c:v>
                </c:pt>
                <c:pt idx="36">
                  <c:v>83.99</c:v>
                </c:pt>
                <c:pt idx="37">
                  <c:v>62.164000000000001</c:v>
                </c:pt>
                <c:pt idx="38">
                  <c:v>60.694000000000003</c:v>
                </c:pt>
                <c:pt idx="39">
                  <c:v>69.701999999999998</c:v>
                </c:pt>
                <c:pt idx="40">
                  <c:v>85.6</c:v>
                </c:pt>
                <c:pt idx="41">
                  <c:v>78.957999999999998</c:v>
                </c:pt>
                <c:pt idx="42">
                  <c:v>61.167999999999999</c:v>
                </c:pt>
                <c:pt idx="43">
                  <c:v>79.093000000000004</c:v>
                </c:pt>
                <c:pt idx="44">
                  <c:v>84.9</c:v>
                </c:pt>
                <c:pt idx="45">
                  <c:v>84.6</c:v>
                </c:pt>
                <c:pt idx="46">
                  <c:v>70.718999999999994</c:v>
                </c:pt>
                <c:pt idx="47">
                  <c:v>73.555999999999997</c:v>
                </c:pt>
                <c:pt idx="48">
                  <c:v>83.9</c:v>
                </c:pt>
                <c:pt idx="49">
                  <c:v>73.293000000000006</c:v>
                </c:pt>
                <c:pt idx="50">
                  <c:v>78.8</c:v>
                </c:pt>
                <c:pt idx="51">
                  <c:v>76.085999999999999</c:v>
                </c:pt>
                <c:pt idx="52">
                  <c:v>66.355000000000004</c:v>
                </c:pt>
                <c:pt idx="53">
                  <c:v>69.664000000000001</c:v>
                </c:pt>
                <c:pt idx="54">
                  <c:v>68.521000000000001</c:v>
                </c:pt>
                <c:pt idx="55">
                  <c:v>85.5</c:v>
                </c:pt>
                <c:pt idx="56">
                  <c:v>84.1</c:v>
                </c:pt>
                <c:pt idx="57">
                  <c:v>67.075000000000003</c:v>
                </c:pt>
                <c:pt idx="58">
                  <c:v>62.783000000000001</c:v>
                </c:pt>
                <c:pt idx="59">
                  <c:v>81.608000000000004</c:v>
                </c:pt>
                <c:pt idx="60">
                  <c:v>83.3</c:v>
                </c:pt>
                <c:pt idx="61">
                  <c:v>76.956000000000003</c:v>
                </c:pt>
                <c:pt idx="62">
                  <c:v>57.35</c:v>
                </c:pt>
                <c:pt idx="63">
                  <c:v>69.572000000000003</c:v>
                </c:pt>
                <c:pt idx="64">
                  <c:v>87.438999999999993</c:v>
                </c:pt>
                <c:pt idx="65">
                  <c:v>78.293000000000006</c:v>
                </c:pt>
                <c:pt idx="66">
                  <c:v>78.171999999999997</c:v>
                </c:pt>
                <c:pt idx="67">
                  <c:v>72.403000000000006</c:v>
                </c:pt>
                <c:pt idx="68">
                  <c:v>73.903000000000006</c:v>
                </c:pt>
                <c:pt idx="69">
                  <c:v>82.527000000000001</c:v>
                </c:pt>
                <c:pt idx="70">
                  <c:v>63.042000000000002</c:v>
                </c:pt>
                <c:pt idx="71">
                  <c:v>61.706000000000003</c:v>
                </c:pt>
                <c:pt idx="72">
                  <c:v>84.4</c:v>
                </c:pt>
                <c:pt idx="73">
                  <c:v>74.13</c:v>
                </c:pt>
                <c:pt idx="74">
                  <c:v>54.317</c:v>
                </c:pt>
                <c:pt idx="75">
                  <c:v>87.7</c:v>
                </c:pt>
                <c:pt idx="76">
                  <c:v>79.3</c:v>
                </c:pt>
                <c:pt idx="77">
                  <c:v>66.049000000000007</c:v>
                </c:pt>
                <c:pt idx="78">
                  <c:v>72.599000000000004</c:v>
                </c:pt>
                <c:pt idx="79">
                  <c:v>77.137</c:v>
                </c:pt>
                <c:pt idx="80">
                  <c:v>63.524000000000001</c:v>
                </c:pt>
                <c:pt idx="81">
                  <c:v>81.2</c:v>
                </c:pt>
                <c:pt idx="82">
                  <c:v>82.082999999999998</c:v>
                </c:pt>
                <c:pt idx="83">
                  <c:v>67.370999999999995</c:v>
                </c:pt>
                <c:pt idx="84">
                  <c:v>69.114999999999995</c:v>
                </c:pt>
                <c:pt idx="85">
                  <c:v>61.767000000000003</c:v>
                </c:pt>
                <c:pt idx="86">
                  <c:v>80.051000000000002</c:v>
                </c:pt>
                <c:pt idx="87">
                  <c:v>68.649000000000001</c:v>
                </c:pt>
                <c:pt idx="88">
                  <c:v>79.603999999999999</c:v>
                </c:pt>
                <c:pt idx="89">
                  <c:v>78.400000000000006</c:v>
                </c:pt>
                <c:pt idx="90">
                  <c:v>84.5</c:v>
                </c:pt>
                <c:pt idx="91">
                  <c:v>72.778000000000006</c:v>
                </c:pt>
                <c:pt idx="92">
                  <c:v>78.266999999999996</c:v>
                </c:pt>
                <c:pt idx="93">
                  <c:v>68.266000000000005</c:v>
                </c:pt>
                <c:pt idx="94">
                  <c:v>72.3</c:v>
                </c:pt>
                <c:pt idx="95">
                  <c:v>86.3</c:v>
                </c:pt>
                <c:pt idx="96">
                  <c:v>67.432000000000002</c:v>
                </c:pt>
                <c:pt idx="97">
                  <c:v>70.257999999999996</c:v>
                </c:pt>
                <c:pt idx="98">
                  <c:v>75.317999999999998</c:v>
                </c:pt>
                <c:pt idx="99">
                  <c:v>81</c:v>
                </c:pt>
                <c:pt idx="100">
                  <c:v>64.744</c:v>
                </c:pt>
                <c:pt idx="101">
                  <c:v>76.863</c:v>
                </c:pt>
                <c:pt idx="102">
                  <c:v>66.194999999999993</c:v>
                </c:pt>
                <c:pt idx="103">
                  <c:v>75.313999999999993</c:v>
                </c:pt>
                <c:pt idx="104">
                  <c:v>68.789000000000001</c:v>
                </c:pt>
                <c:pt idx="105">
                  <c:v>73.927000000000007</c:v>
                </c:pt>
                <c:pt idx="106">
                  <c:v>87.32</c:v>
                </c:pt>
                <c:pt idx="107">
                  <c:v>68.959000000000003</c:v>
                </c:pt>
                <c:pt idx="108">
                  <c:v>80.637</c:v>
                </c:pt>
                <c:pt idx="109">
                  <c:v>84.4</c:v>
                </c:pt>
                <c:pt idx="110">
                  <c:v>85.7</c:v>
                </c:pt>
                <c:pt idx="111">
                  <c:v>62.613999999999997</c:v>
                </c:pt>
                <c:pt idx="112">
                  <c:v>79.090999999999994</c:v>
                </c:pt>
                <c:pt idx="113">
                  <c:v>75.632000000000005</c:v>
                </c:pt>
                <c:pt idx="114">
                  <c:v>82</c:v>
                </c:pt>
                <c:pt idx="115">
                  <c:v>76.341999999999999</c:v>
                </c:pt>
                <c:pt idx="116">
                  <c:v>85.8</c:v>
                </c:pt>
                <c:pt idx="117">
                  <c:v>73.814999999999998</c:v>
                </c:pt>
                <c:pt idx="118">
                  <c:v>70.382999999999996</c:v>
                </c:pt>
                <c:pt idx="119">
                  <c:v>63.594000000000001</c:v>
                </c:pt>
                <c:pt idx="120">
                  <c:v>58.545000000000002</c:v>
                </c:pt>
                <c:pt idx="121">
                  <c:v>79.66</c:v>
                </c:pt>
                <c:pt idx="122">
                  <c:v>84.5</c:v>
                </c:pt>
                <c:pt idx="123">
                  <c:v>68.233000000000004</c:v>
                </c:pt>
                <c:pt idx="124">
                  <c:v>77.796000000000006</c:v>
                </c:pt>
                <c:pt idx="125">
                  <c:v>73.614000000000004</c:v>
                </c:pt>
                <c:pt idx="126">
                  <c:v>65.158000000000001</c:v>
                </c:pt>
                <c:pt idx="127">
                  <c:v>76.680999999999997</c:v>
                </c:pt>
                <c:pt idx="128">
                  <c:v>75.570999999999998</c:v>
                </c:pt>
                <c:pt idx="129">
                  <c:v>56.587000000000003</c:v>
                </c:pt>
                <c:pt idx="130">
                  <c:v>65.582999999999998</c:v>
                </c:pt>
                <c:pt idx="131">
                  <c:v>68.123000000000005</c:v>
                </c:pt>
                <c:pt idx="132">
                  <c:v>81.024000000000001</c:v>
                </c:pt>
                <c:pt idx="133">
                  <c:v>75.876999999999995</c:v>
                </c:pt>
                <c:pt idx="134">
                  <c:v>80.683999999999997</c:v>
                </c:pt>
                <c:pt idx="135">
                  <c:v>64.716999999999999</c:v>
                </c:pt>
                <c:pt idx="136">
                  <c:v>75.707999999999998</c:v>
                </c:pt>
                <c:pt idx="137">
                  <c:v>64.915999999999997</c:v>
                </c:pt>
                <c:pt idx="138">
                  <c:v>81.400000000000006</c:v>
                </c:pt>
                <c:pt idx="139">
                  <c:v>77.021000000000001</c:v>
                </c:pt>
                <c:pt idx="140">
                  <c:v>71.444999999999993</c:v>
                </c:pt>
                <c:pt idx="141">
                  <c:v>78.266000000000005</c:v>
                </c:pt>
                <c:pt idx="142">
                  <c:v>79.322999999999993</c:v>
                </c:pt>
                <c:pt idx="143">
                  <c:v>76.498999999999995</c:v>
                </c:pt>
                <c:pt idx="144">
                  <c:v>77.72</c:v>
                </c:pt>
                <c:pt idx="145">
                  <c:v>68.397000000000006</c:v>
                </c:pt>
                <c:pt idx="146">
                  <c:v>66.918999999999997</c:v>
                </c:pt>
                <c:pt idx="147">
                  <c:v>77.286000000000001</c:v>
                </c:pt>
                <c:pt idx="148">
                  <c:v>80.328999999999994</c:v>
                </c:pt>
                <c:pt idx="149">
                  <c:v>63.234000000000002</c:v>
                </c:pt>
                <c:pt idx="150">
                  <c:v>80.8</c:v>
                </c:pt>
                <c:pt idx="151">
                  <c:v>79.599999999999994</c:v>
                </c:pt>
                <c:pt idx="152">
                  <c:v>75.936999999999998</c:v>
                </c:pt>
                <c:pt idx="153">
                  <c:v>69.676000000000002</c:v>
                </c:pt>
                <c:pt idx="154">
                  <c:v>77.247</c:v>
                </c:pt>
                <c:pt idx="155">
                  <c:v>76.968000000000004</c:v>
                </c:pt>
                <c:pt idx="156">
                  <c:v>83.820999999999998</c:v>
                </c:pt>
                <c:pt idx="157">
                  <c:v>78.599999999999994</c:v>
                </c:pt>
                <c:pt idx="158">
                  <c:v>75.084999999999994</c:v>
                </c:pt>
                <c:pt idx="159">
                  <c:v>77.352999999999994</c:v>
                </c:pt>
                <c:pt idx="160">
                  <c:v>77.319999999999993</c:v>
                </c:pt>
                <c:pt idx="161">
                  <c:v>56.591000000000001</c:v>
                </c:pt>
                <c:pt idx="162">
                  <c:v>72.191999999999993</c:v>
                </c:pt>
                <c:pt idx="163">
                  <c:v>68.739999999999995</c:v>
                </c:pt>
                <c:pt idx="164">
                  <c:v>74.954999999999998</c:v>
                </c:pt>
                <c:pt idx="165">
                  <c:v>81.283000000000001</c:v>
                </c:pt>
                <c:pt idx="166">
                  <c:v>72.438999999999993</c:v>
                </c:pt>
                <c:pt idx="167">
                  <c:v>66.457999999999998</c:v>
                </c:pt>
                <c:pt idx="168">
                  <c:v>79.492999999999995</c:v>
                </c:pt>
                <c:pt idx="169">
                  <c:v>79.2</c:v>
                </c:pt>
                <c:pt idx="170">
                  <c:v>81.7</c:v>
                </c:pt>
                <c:pt idx="171">
                  <c:v>66.989000000000004</c:v>
                </c:pt>
                <c:pt idx="172">
                  <c:v>66.959999999999994</c:v>
                </c:pt>
                <c:pt idx="173">
                  <c:v>66.176000000000002</c:v>
                </c:pt>
                <c:pt idx="174">
                  <c:v>84.236000000000004</c:v>
                </c:pt>
                <c:pt idx="175">
                  <c:v>82.7</c:v>
                </c:pt>
                <c:pt idx="176">
                  <c:v>63.168999999999997</c:v>
                </c:pt>
                <c:pt idx="177">
                  <c:v>75.599999999999994</c:v>
                </c:pt>
                <c:pt idx="178">
                  <c:v>68.600999999999999</c:v>
                </c:pt>
                <c:pt idx="179">
                  <c:v>79.875</c:v>
                </c:pt>
                <c:pt idx="180">
                  <c:v>77.19</c:v>
                </c:pt>
                <c:pt idx="181">
                  <c:v>83.149000000000001</c:v>
                </c:pt>
                <c:pt idx="182">
                  <c:v>76.430999999999997</c:v>
                </c:pt>
                <c:pt idx="183">
                  <c:v>68.733999999999995</c:v>
                </c:pt>
                <c:pt idx="184">
                  <c:v>77.400000000000006</c:v>
                </c:pt>
                <c:pt idx="185">
                  <c:v>75.828999999999994</c:v>
                </c:pt>
                <c:pt idx="186">
                  <c:v>78.777000000000001</c:v>
                </c:pt>
                <c:pt idx="187">
                  <c:v>79.7</c:v>
                </c:pt>
                <c:pt idx="188">
                  <c:v>79.600999999999999</c:v>
                </c:pt>
                <c:pt idx="189">
                  <c:v>75.231999999999999</c:v>
                </c:pt>
                <c:pt idx="190">
                  <c:v>80.7</c:v>
                </c:pt>
                <c:pt idx="191">
                  <c:v>78.153000000000006</c:v>
                </c:pt>
                <c:pt idx="192">
                  <c:v>75.168000000000006</c:v>
                </c:pt>
                <c:pt idx="193">
                  <c:v>77.819999999999993</c:v>
                </c:pt>
                <c:pt idx="194">
                  <c:v>79.400000000000006</c:v>
                </c:pt>
                <c:pt idx="195">
                  <c:v>76.72</c:v>
                </c:pt>
                <c:pt idx="196">
                  <c:v>77.488</c:v>
                </c:pt>
              </c:numCache>
            </c:numRef>
          </c:xVal>
          <c:yVal>
            <c:numRef>
              <c:f>'F4'!$D$11:$D$207</c:f>
              <c:numCache>
                <c:formatCode>0.0</c:formatCode>
                <c:ptCount val="197"/>
                <c:pt idx="0">
                  <c:v>79.209999999999994</c:v>
                </c:pt>
                <c:pt idx="1">
                  <c:v>59.829000000000001</c:v>
                </c:pt>
                <c:pt idx="2">
                  <c:v>80.028000000000006</c:v>
                </c:pt>
                <c:pt idx="3">
                  <c:v>78.816000000000003</c:v>
                </c:pt>
                <c:pt idx="4">
                  <c:v>52.331000000000003</c:v>
                </c:pt>
                <c:pt idx="5">
                  <c:v>74.965999999999994</c:v>
                </c:pt>
                <c:pt idx="6">
                  <c:v>80.3</c:v>
                </c:pt>
                <c:pt idx="7">
                  <c:v>81.3</c:v>
                </c:pt>
                <c:pt idx="8">
                  <c:v>61.610999999999997</c:v>
                </c:pt>
                <c:pt idx="9">
                  <c:v>75.921000000000006</c:v>
                </c:pt>
                <c:pt idx="10">
                  <c:v>81.099999999999994</c:v>
                </c:pt>
                <c:pt idx="11">
                  <c:v>80.900000000000006</c:v>
                </c:pt>
                <c:pt idx="12">
                  <c:v>79.67</c:v>
                </c:pt>
                <c:pt idx="13">
                  <c:v>80</c:v>
                </c:pt>
                <c:pt idx="14">
                  <c:v>69.367000000000004</c:v>
                </c:pt>
                <c:pt idx="15">
                  <c:v>76.534000000000006</c:v>
                </c:pt>
                <c:pt idx="16">
                  <c:v>79.5</c:v>
                </c:pt>
                <c:pt idx="17">
                  <c:v>81.900000000000006</c:v>
                </c:pt>
                <c:pt idx="18">
                  <c:v>80.400000000000006</c:v>
                </c:pt>
                <c:pt idx="19">
                  <c:v>58.326000000000001</c:v>
                </c:pt>
                <c:pt idx="20">
                  <c:v>62.834000000000003</c:v>
                </c:pt>
                <c:pt idx="21">
                  <c:v>80.900000000000006</c:v>
                </c:pt>
                <c:pt idx="22">
                  <c:v>68.786000000000001</c:v>
                </c:pt>
                <c:pt idx="23">
                  <c:v>57.845999999999997</c:v>
                </c:pt>
                <c:pt idx="24">
                  <c:v>77.784000000000006</c:v>
                </c:pt>
                <c:pt idx="25">
                  <c:v>61.826000000000001</c:v>
                </c:pt>
                <c:pt idx="26">
                  <c:v>79.099999999999994</c:v>
                </c:pt>
                <c:pt idx="27">
                  <c:v>78.709000000000003</c:v>
                </c:pt>
                <c:pt idx="28">
                  <c:v>78.028000000000006</c:v>
                </c:pt>
                <c:pt idx="29">
                  <c:v>58.915999999999997</c:v>
                </c:pt>
                <c:pt idx="30">
                  <c:v>69.602000000000004</c:v>
                </c:pt>
                <c:pt idx="31">
                  <c:v>80.7</c:v>
                </c:pt>
                <c:pt idx="32">
                  <c:v>80.400000000000006</c:v>
                </c:pt>
                <c:pt idx="33">
                  <c:v>70.888999999999996</c:v>
                </c:pt>
                <c:pt idx="34">
                  <c:v>78.231999999999999</c:v>
                </c:pt>
                <c:pt idx="35">
                  <c:v>81.2</c:v>
                </c:pt>
                <c:pt idx="36">
                  <c:v>79.8</c:v>
                </c:pt>
                <c:pt idx="37">
                  <c:v>59.524999999999999</c:v>
                </c:pt>
                <c:pt idx="38">
                  <c:v>58.14</c:v>
                </c:pt>
                <c:pt idx="39">
                  <c:v>66.468000000000004</c:v>
                </c:pt>
                <c:pt idx="40">
                  <c:v>81.2</c:v>
                </c:pt>
                <c:pt idx="41">
                  <c:v>75.013000000000005</c:v>
                </c:pt>
                <c:pt idx="42">
                  <c:v>58.418999999999997</c:v>
                </c:pt>
                <c:pt idx="43">
                  <c:v>75.034000000000006</c:v>
                </c:pt>
                <c:pt idx="44">
                  <c:v>80.400000000000006</c:v>
                </c:pt>
                <c:pt idx="45">
                  <c:v>80.099999999999994</c:v>
                </c:pt>
                <c:pt idx="46">
                  <c:v>67.230999999999995</c:v>
                </c:pt>
                <c:pt idx="47">
                  <c:v>69.814999999999998</c:v>
                </c:pt>
                <c:pt idx="48">
                  <c:v>79.400000000000006</c:v>
                </c:pt>
                <c:pt idx="49">
                  <c:v>69.558999999999997</c:v>
                </c:pt>
                <c:pt idx="50">
                  <c:v>74.599999999999994</c:v>
                </c:pt>
                <c:pt idx="51">
                  <c:v>72.028000000000006</c:v>
                </c:pt>
                <c:pt idx="52">
                  <c:v>62.996000000000002</c:v>
                </c:pt>
                <c:pt idx="53">
                  <c:v>66.031000000000006</c:v>
                </c:pt>
                <c:pt idx="54">
                  <c:v>64.97</c:v>
                </c:pt>
                <c:pt idx="55">
                  <c:v>80.7</c:v>
                </c:pt>
                <c:pt idx="56">
                  <c:v>79.400000000000006</c:v>
                </c:pt>
                <c:pt idx="57">
                  <c:v>63.594000000000001</c:v>
                </c:pt>
                <c:pt idx="58">
                  <c:v>59.601999999999997</c:v>
                </c:pt>
                <c:pt idx="59">
                  <c:v>77.037000000000006</c:v>
                </c:pt>
                <c:pt idx="60">
                  <c:v>78.599999999999994</c:v>
                </c:pt>
                <c:pt idx="61">
                  <c:v>72.668000000000006</c:v>
                </c:pt>
                <c:pt idx="62">
                  <c:v>54.487000000000002</c:v>
                </c:pt>
                <c:pt idx="63">
                  <c:v>65.793000000000006</c:v>
                </c:pt>
                <c:pt idx="64">
                  <c:v>82.349000000000004</c:v>
                </c:pt>
                <c:pt idx="65">
                  <c:v>73.8</c:v>
                </c:pt>
                <c:pt idx="66">
                  <c:v>73.677000000000007</c:v>
                </c:pt>
                <c:pt idx="67">
                  <c:v>68.311000000000007</c:v>
                </c:pt>
                <c:pt idx="68">
                  <c:v>69.694999999999993</c:v>
                </c:pt>
                <c:pt idx="69">
                  <c:v>77.683999999999997</c:v>
                </c:pt>
                <c:pt idx="70">
                  <c:v>59.555999999999997</c:v>
                </c:pt>
                <c:pt idx="71">
                  <c:v>58.29</c:v>
                </c:pt>
                <c:pt idx="72">
                  <c:v>79.3</c:v>
                </c:pt>
                <c:pt idx="73">
                  <c:v>69.75</c:v>
                </c:pt>
                <c:pt idx="74">
                  <c:v>51.372</c:v>
                </c:pt>
                <c:pt idx="75">
                  <c:v>82.3</c:v>
                </c:pt>
                <c:pt idx="76">
                  <c:v>74.5</c:v>
                </c:pt>
                <c:pt idx="77">
                  <c:v>62.215000000000003</c:v>
                </c:pt>
                <c:pt idx="78">
                  <c:v>68.272000000000006</c:v>
                </c:pt>
                <c:pt idx="79">
                  <c:v>72.463999999999999</c:v>
                </c:pt>
                <c:pt idx="80">
                  <c:v>59.820999999999998</c:v>
                </c:pt>
                <c:pt idx="81">
                  <c:v>76.2</c:v>
                </c:pt>
                <c:pt idx="82">
                  <c:v>76.995999999999995</c:v>
                </c:pt>
                <c:pt idx="83">
                  <c:v>63.335999999999999</c:v>
                </c:pt>
                <c:pt idx="84">
                  <c:v>64.947000000000003</c:v>
                </c:pt>
                <c:pt idx="85">
                  <c:v>58.133000000000003</c:v>
                </c:pt>
                <c:pt idx="86">
                  <c:v>75.066999999999993</c:v>
                </c:pt>
                <c:pt idx="87">
                  <c:v>64.474999999999994</c:v>
                </c:pt>
                <c:pt idx="88">
                  <c:v>74.623000000000005</c:v>
                </c:pt>
                <c:pt idx="89">
                  <c:v>73.5</c:v>
                </c:pt>
                <c:pt idx="90">
                  <c:v>79.099999999999994</c:v>
                </c:pt>
                <c:pt idx="91">
                  <c:v>68.225999999999999</c:v>
                </c:pt>
                <c:pt idx="92">
                  <c:v>73.293000000000006</c:v>
                </c:pt>
                <c:pt idx="93">
                  <c:v>64.013000000000005</c:v>
                </c:pt>
                <c:pt idx="94">
                  <c:v>67.75</c:v>
                </c:pt>
                <c:pt idx="95">
                  <c:v>80.7</c:v>
                </c:pt>
                <c:pt idx="96">
                  <c:v>63.2</c:v>
                </c:pt>
                <c:pt idx="97">
                  <c:v>65.78</c:v>
                </c:pt>
                <c:pt idx="98">
                  <c:v>70.460999999999999</c:v>
                </c:pt>
                <c:pt idx="99">
                  <c:v>75.724000000000004</c:v>
                </c:pt>
                <c:pt idx="100">
                  <c:v>60.587000000000003</c:v>
                </c:pt>
                <c:pt idx="101">
                  <c:v>71.816000000000003</c:v>
                </c:pt>
                <c:pt idx="102">
                  <c:v>61.808</c:v>
                </c:pt>
                <c:pt idx="103">
                  <c:v>70.210999999999999</c:v>
                </c:pt>
                <c:pt idx="104">
                  <c:v>64.114999999999995</c:v>
                </c:pt>
                <c:pt idx="105">
                  <c:v>68.875</c:v>
                </c:pt>
                <c:pt idx="106">
                  <c:v>81.25</c:v>
                </c:pt>
                <c:pt idx="107">
                  <c:v>64.221999999999994</c:v>
                </c:pt>
                <c:pt idx="108">
                  <c:v>75.046000000000006</c:v>
                </c:pt>
                <c:pt idx="109">
                  <c:v>78.5</c:v>
                </c:pt>
                <c:pt idx="110">
                  <c:v>79.7</c:v>
                </c:pt>
                <c:pt idx="111">
                  <c:v>58.262999999999998</c:v>
                </c:pt>
                <c:pt idx="112">
                  <c:v>73.519000000000005</c:v>
                </c:pt>
                <c:pt idx="113">
                  <c:v>70.307000000000002</c:v>
                </c:pt>
                <c:pt idx="114">
                  <c:v>76.2</c:v>
                </c:pt>
                <c:pt idx="115">
                  <c:v>70.945999999999998</c:v>
                </c:pt>
                <c:pt idx="116">
                  <c:v>79.7</c:v>
                </c:pt>
                <c:pt idx="117">
                  <c:v>68.478999999999999</c:v>
                </c:pt>
                <c:pt idx="118">
                  <c:v>65.278999999999996</c:v>
                </c:pt>
                <c:pt idx="119">
                  <c:v>58.968000000000004</c:v>
                </c:pt>
                <c:pt idx="120">
                  <c:v>54.283000000000001</c:v>
                </c:pt>
                <c:pt idx="121">
                  <c:v>73.841999999999999</c:v>
                </c:pt>
                <c:pt idx="122">
                  <c:v>78.3</c:v>
                </c:pt>
                <c:pt idx="123">
                  <c:v>63.207999999999998</c:v>
                </c:pt>
                <c:pt idx="124">
                  <c:v>72.06</c:v>
                </c:pt>
                <c:pt idx="125">
                  <c:v>68.149000000000001</c:v>
                </c:pt>
                <c:pt idx="126">
                  <c:v>60.287999999999997</c:v>
                </c:pt>
                <c:pt idx="127">
                  <c:v>70.963999999999999</c:v>
                </c:pt>
                <c:pt idx="128">
                  <c:v>69.896000000000001</c:v>
                </c:pt>
                <c:pt idx="129">
                  <c:v>52.284999999999997</c:v>
                </c:pt>
                <c:pt idx="130">
                  <c:v>60.59</c:v>
                </c:pt>
                <c:pt idx="131">
                  <c:v>62.869</c:v>
                </c:pt>
                <c:pt idx="132">
                  <c:v>74.825999999999993</c:v>
                </c:pt>
                <c:pt idx="133">
                  <c:v>70.016999999999996</c:v>
                </c:pt>
                <c:pt idx="134">
                  <c:v>74.417000000000002</c:v>
                </c:pt>
                <c:pt idx="135">
                  <c:v>59.582000000000001</c:v>
                </c:pt>
                <c:pt idx="136">
                  <c:v>69.692999999999998</c:v>
                </c:pt>
                <c:pt idx="137">
                  <c:v>59.673999999999999</c:v>
                </c:pt>
                <c:pt idx="138">
                  <c:v>74.900000000000006</c:v>
                </c:pt>
                <c:pt idx="139">
                  <c:v>70.84</c:v>
                </c:pt>
                <c:pt idx="140">
                  <c:v>65.653000000000006</c:v>
                </c:pt>
                <c:pt idx="141">
                  <c:v>71.956000000000003</c:v>
                </c:pt>
                <c:pt idx="142">
                  <c:v>72.864000000000004</c:v>
                </c:pt>
                <c:pt idx="143">
                  <c:v>70.233000000000004</c:v>
                </c:pt>
                <c:pt idx="144">
                  <c:v>71.27</c:v>
                </c:pt>
                <c:pt idx="145">
                  <c:v>62.606000000000002</c:v>
                </c:pt>
                <c:pt idx="146">
                  <c:v>61.231000000000002</c:v>
                </c:pt>
                <c:pt idx="147">
                  <c:v>70.828999999999994</c:v>
                </c:pt>
                <c:pt idx="148">
                  <c:v>73.631</c:v>
                </c:pt>
                <c:pt idx="149">
                  <c:v>57.720999999999997</c:v>
                </c:pt>
                <c:pt idx="150">
                  <c:v>73.900000000000006</c:v>
                </c:pt>
                <c:pt idx="151">
                  <c:v>72.7</c:v>
                </c:pt>
                <c:pt idx="152">
                  <c:v>69.284999999999997</c:v>
                </c:pt>
                <c:pt idx="153">
                  <c:v>63.406999999999996</c:v>
                </c:pt>
                <c:pt idx="154">
                  <c:v>70.405000000000001</c:v>
                </c:pt>
                <c:pt idx="155">
                  <c:v>70.022999999999996</c:v>
                </c:pt>
                <c:pt idx="156">
                  <c:v>76.367000000000004</c:v>
                </c:pt>
                <c:pt idx="157">
                  <c:v>71.5</c:v>
                </c:pt>
                <c:pt idx="158">
                  <c:v>68.206000000000003</c:v>
                </c:pt>
                <c:pt idx="159">
                  <c:v>70.299000000000007</c:v>
                </c:pt>
                <c:pt idx="160">
                  <c:v>70.224999999999994</c:v>
                </c:pt>
                <c:pt idx="161">
                  <c:v>50.991999999999997</c:v>
                </c:pt>
                <c:pt idx="162">
                  <c:v>65.408000000000001</c:v>
                </c:pt>
                <c:pt idx="163">
                  <c:v>62.203000000000003</c:v>
                </c:pt>
                <c:pt idx="164">
                  <c:v>67.92</c:v>
                </c:pt>
                <c:pt idx="165">
                  <c:v>73.753</c:v>
                </c:pt>
                <c:pt idx="166">
                  <c:v>65.503</c:v>
                </c:pt>
                <c:pt idx="167">
                  <c:v>59.923000000000002</c:v>
                </c:pt>
                <c:pt idx="168">
                  <c:v>71.983000000000004</c:v>
                </c:pt>
                <c:pt idx="169">
                  <c:v>71.7</c:v>
                </c:pt>
                <c:pt idx="170">
                  <c:v>73.7</c:v>
                </c:pt>
                <c:pt idx="171">
                  <c:v>59.883000000000003</c:v>
                </c:pt>
                <c:pt idx="172">
                  <c:v>59.723999999999997</c:v>
                </c:pt>
                <c:pt idx="173">
                  <c:v>58.930999999999997</c:v>
                </c:pt>
                <c:pt idx="174">
                  <c:v>75.474999999999994</c:v>
                </c:pt>
                <c:pt idx="175">
                  <c:v>74</c:v>
                </c:pt>
                <c:pt idx="176">
                  <c:v>55.881999999999998</c:v>
                </c:pt>
                <c:pt idx="177">
                  <c:v>67.400000000000006</c:v>
                </c:pt>
                <c:pt idx="178">
                  <c:v>60.901000000000003</c:v>
                </c:pt>
                <c:pt idx="179">
                  <c:v>71.343999999999994</c:v>
                </c:pt>
                <c:pt idx="180">
                  <c:v>68.84</c:v>
                </c:pt>
                <c:pt idx="181">
                  <c:v>74.314999999999998</c:v>
                </c:pt>
                <c:pt idx="182">
                  <c:v>67.831999999999994</c:v>
                </c:pt>
                <c:pt idx="183">
                  <c:v>60.57</c:v>
                </c:pt>
                <c:pt idx="184">
                  <c:v>68.5</c:v>
                </c:pt>
                <c:pt idx="185">
                  <c:v>66.811000000000007</c:v>
                </c:pt>
                <c:pt idx="186">
                  <c:v>69.245000000000005</c:v>
                </c:pt>
                <c:pt idx="187">
                  <c:v>70.099999999999994</c:v>
                </c:pt>
                <c:pt idx="188">
                  <c:v>69.992000000000004</c:v>
                </c:pt>
                <c:pt idx="189">
                  <c:v>65.921000000000006</c:v>
                </c:pt>
                <c:pt idx="190">
                  <c:v>70.900000000000006</c:v>
                </c:pt>
                <c:pt idx="191">
                  <c:v>68.495000000000005</c:v>
                </c:pt>
                <c:pt idx="192">
                  <c:v>65.625</c:v>
                </c:pt>
                <c:pt idx="193">
                  <c:v>67.75</c:v>
                </c:pt>
                <c:pt idx="194">
                  <c:v>69.2</c:v>
                </c:pt>
                <c:pt idx="195">
                  <c:v>66.69</c:v>
                </c:pt>
                <c:pt idx="196">
                  <c:v>67.352000000000004</c:v>
                </c:pt>
              </c:numCache>
            </c:numRef>
          </c:yVal>
          <c:smooth val="0"/>
          <c:extLst>
            <c:ext xmlns:c16="http://schemas.microsoft.com/office/drawing/2014/chart" uri="{C3380CC4-5D6E-409C-BE32-E72D297353CC}">
              <c16:uniqueId val="{00000000-433F-4F00-9BAE-0BEB46707E71}"/>
            </c:ext>
          </c:extLst>
        </c:ser>
        <c:dLbls>
          <c:showLegendKey val="0"/>
          <c:showVal val="0"/>
          <c:showCatName val="0"/>
          <c:showSerName val="0"/>
          <c:showPercent val="0"/>
          <c:showBubbleSize val="0"/>
        </c:dLbls>
        <c:axId val="1514914592"/>
        <c:axId val="1514912192"/>
      </c:scatterChart>
      <c:valAx>
        <c:axId val="1514914592"/>
        <c:scaling>
          <c:orientation val="minMax"/>
          <c:min val="5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4912192"/>
        <c:crosses val="autoZero"/>
        <c:crossBetween val="midCat"/>
      </c:valAx>
      <c:valAx>
        <c:axId val="1514912192"/>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4914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266700</xdr:colOff>
      <xdr:row>13</xdr:row>
      <xdr:rowOff>22860</xdr:rowOff>
    </xdr:from>
    <xdr:to>
      <xdr:col>15</xdr:col>
      <xdr:colOff>182880</xdr:colOff>
      <xdr:row>31</xdr:row>
      <xdr:rowOff>60960</xdr:rowOff>
    </xdr:to>
    <xdr:graphicFrame macro="">
      <xdr:nvGraphicFramePr>
        <xdr:cNvPr id="5" name="Graphique 4">
          <a:extLst>
            <a:ext uri="{FF2B5EF4-FFF2-40B4-BE49-F238E27FC236}">
              <a16:creationId xmlns:a16="http://schemas.microsoft.com/office/drawing/2014/main" id="{876E7ED8-C4E4-8695-B920-37773140D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259080</xdr:colOff>
      <xdr:row>32</xdr:row>
      <xdr:rowOff>83820</xdr:rowOff>
    </xdr:from>
    <xdr:to>
      <xdr:col>15</xdr:col>
      <xdr:colOff>60960</xdr:colOff>
      <xdr:row>48</xdr:row>
      <xdr:rowOff>144780</xdr:rowOff>
    </xdr:to>
    <xdr:graphicFrame macro="">
      <xdr:nvGraphicFramePr>
        <xdr:cNvPr id="6" name="Graphique 5">
          <a:extLst>
            <a:ext uri="{FF2B5EF4-FFF2-40B4-BE49-F238E27FC236}">
              <a16:creationId xmlns:a16="http://schemas.microsoft.com/office/drawing/2014/main" id="{1A4F9E18-DB75-F967-AA01-62E683C6C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295834</xdr:colOff>
      <xdr:row>13</xdr:row>
      <xdr:rowOff>26894</xdr:rowOff>
    </xdr:from>
    <xdr:to>
      <xdr:col>21</xdr:col>
      <xdr:colOff>242047</xdr:colOff>
      <xdr:row>31</xdr:row>
      <xdr:rowOff>26894</xdr:rowOff>
    </xdr:to>
    <xdr:graphicFrame macro="">
      <xdr:nvGraphicFramePr>
        <xdr:cNvPr id="7" name="Graphique 6">
          <a:extLst>
            <a:ext uri="{FF2B5EF4-FFF2-40B4-BE49-F238E27FC236}">
              <a16:creationId xmlns:a16="http://schemas.microsoft.com/office/drawing/2014/main" id="{8F750AB6-0B21-6812-7DBB-81C8ABFED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251011</xdr:colOff>
      <xdr:row>32</xdr:row>
      <xdr:rowOff>8964</xdr:rowOff>
    </xdr:from>
    <xdr:to>
      <xdr:col>21</xdr:col>
      <xdr:colOff>268941</xdr:colOff>
      <xdr:row>48</xdr:row>
      <xdr:rowOff>143434</xdr:rowOff>
    </xdr:to>
    <xdr:graphicFrame macro="">
      <xdr:nvGraphicFramePr>
        <xdr:cNvPr id="8" name="Graphique 7">
          <a:extLst>
            <a:ext uri="{FF2B5EF4-FFF2-40B4-BE49-F238E27FC236}">
              <a16:creationId xmlns:a16="http://schemas.microsoft.com/office/drawing/2014/main" id="{0D2444D6-919E-B6FE-8793-14769DDF2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603885</xdr:colOff>
      <xdr:row>12</xdr:row>
      <xdr:rowOff>55245</xdr:rowOff>
    </xdr:from>
    <xdr:to>
      <xdr:col>9</xdr:col>
      <xdr:colOff>99060</xdr:colOff>
      <xdr:row>29</xdr:row>
      <xdr:rowOff>45720</xdr:rowOff>
    </xdr:to>
    <xdr:graphicFrame macro="">
      <xdr:nvGraphicFramePr>
        <xdr:cNvPr id="2" name="Graphique 1">
          <a:extLst>
            <a:ext uri="{FF2B5EF4-FFF2-40B4-BE49-F238E27FC236}">
              <a16:creationId xmlns:a16="http://schemas.microsoft.com/office/drawing/2014/main" id="{687C0EFC-E0AC-D061-E2AC-F709B091A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750570</xdr:colOff>
      <xdr:row>9</xdr:row>
      <xdr:rowOff>38100</xdr:rowOff>
    </xdr:from>
    <xdr:to>
      <xdr:col>10</xdr:col>
      <xdr:colOff>586740</xdr:colOff>
      <xdr:row>26</xdr:row>
      <xdr:rowOff>38100</xdr:rowOff>
    </xdr:to>
    <xdr:graphicFrame macro="">
      <xdr:nvGraphicFramePr>
        <xdr:cNvPr id="2" name="Graphique 1">
          <a:extLst>
            <a:ext uri="{FF2B5EF4-FFF2-40B4-BE49-F238E27FC236}">
              <a16:creationId xmlns:a16="http://schemas.microsoft.com/office/drawing/2014/main" id="{E60F6EFF-420C-F0FA-85F8-D986D1413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622935</xdr:colOff>
      <xdr:row>2</xdr:row>
      <xdr:rowOff>104774</xdr:rowOff>
    </xdr:from>
    <xdr:to>
      <xdr:col>14</xdr:col>
      <xdr:colOff>424815</xdr:colOff>
      <xdr:row>21</xdr:row>
      <xdr:rowOff>144779</xdr:rowOff>
    </xdr:to>
    <xdr:graphicFrame macro="">
      <xdr:nvGraphicFramePr>
        <xdr:cNvPr id="2" name="Graphique 1">
          <a:extLst>
            <a:ext uri="{FF2B5EF4-FFF2-40B4-BE49-F238E27FC236}">
              <a16:creationId xmlns:a16="http://schemas.microsoft.com/office/drawing/2014/main" id="{1B5B8070-D015-CE04-84AA-61EEBE587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594361</xdr:colOff>
      <xdr:row>0</xdr:row>
      <xdr:rowOff>106680</xdr:rowOff>
    </xdr:from>
    <xdr:to>
      <xdr:col>14</xdr:col>
      <xdr:colOff>304801</xdr:colOff>
      <xdr:row>21</xdr:row>
      <xdr:rowOff>94428</xdr:rowOff>
    </xdr:to>
    <xdr:pic>
      <xdr:nvPicPr>
        <xdr:cNvPr id="4" name="Image 3">
          <a:extLst>
            <a:ext uri="{FF2B5EF4-FFF2-40B4-BE49-F238E27FC236}">
              <a16:creationId xmlns:a16="http://schemas.microsoft.com/office/drawing/2014/main" id="{62FE36BF-2287-A4C9-F4AC-02E325F25746}"/>
            </a:ext>
          </a:extLst>
        </xdr:cNvPr>
        <xdr:cNvPicPr>
          <a:picLocks noChangeAspect="1"/>
        </xdr:cNvPicPr>
      </xdr:nvPicPr>
      <xdr:blipFill>
        <a:blip xmlns:r="http://schemas.openxmlformats.org/officeDocument/2006/relationships" r:embed="rId1"/>
        <a:stretch>
          <a:fillRect/>
        </a:stretch>
      </xdr:blipFill>
      <xdr:spPr>
        <a:xfrm>
          <a:off x="5349241" y="106680"/>
          <a:ext cx="6050280" cy="3348168"/>
        </a:xfrm>
        <a:prstGeom prst="rect">
          <a:avLst/>
        </a:prstGeom>
        <a:ln>
          <a:solidFill>
            <a:schemeClr val="accent1"/>
          </a:solidFill>
        </a:ln>
      </xdr:spPr>
    </xdr:pic>
    <xdr:clientData/>
  </xdr:twoCellAnchor>
  <xdr:twoCellAnchor editAs="oneCell">
    <xdr:from>
      <xdr:col>6</xdr:col>
      <xdr:colOff>546559</xdr:colOff>
      <xdr:row>22</xdr:row>
      <xdr:rowOff>114028</xdr:rowOff>
    </xdr:from>
    <xdr:to>
      <xdr:col>14</xdr:col>
      <xdr:colOff>350520</xdr:colOff>
      <xdr:row>42</xdr:row>
      <xdr:rowOff>36125</xdr:rowOff>
    </xdr:to>
    <xdr:pic>
      <xdr:nvPicPr>
        <xdr:cNvPr id="6" name="Image 5">
          <a:extLst>
            <a:ext uri="{FF2B5EF4-FFF2-40B4-BE49-F238E27FC236}">
              <a16:creationId xmlns:a16="http://schemas.microsoft.com/office/drawing/2014/main" id="{39740406-51EC-F37C-DFC3-B5F53F23514A}"/>
            </a:ext>
          </a:extLst>
        </xdr:cNvPr>
        <xdr:cNvPicPr>
          <a:picLocks noChangeAspect="1"/>
        </xdr:cNvPicPr>
      </xdr:nvPicPr>
      <xdr:blipFill>
        <a:blip xmlns:r="http://schemas.openxmlformats.org/officeDocument/2006/relationships" r:embed="rId2"/>
        <a:stretch>
          <a:fillRect/>
        </a:stretch>
      </xdr:blipFill>
      <xdr:spPr>
        <a:xfrm>
          <a:off x="5301439" y="3634468"/>
          <a:ext cx="6143801" cy="3122497"/>
        </a:xfrm>
        <a:prstGeom prst="rect">
          <a:avLst/>
        </a:prstGeom>
        <a:ln>
          <a:solidFill>
            <a:schemeClr val="accent1"/>
          </a:solid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86"/>
  <sheetViews>
    <sheetView tabSelected="1" topLeftCell="A39" zoomScaleNormal="100" workbookViewId="0">
      <selection activeCell="F83" sqref="F83"/>
    </sheetView>
  </sheetViews>
  <sheetFormatPr baseColWidth="10" defaultColWidth="9" defaultRowHeight="13.2" x14ac:dyDescent="0.25"/>
  <cols>
    <col min="1" max="1" width="9" style="1"/>
    <col min="2" max="2" width="24.6640625" style="1" customWidth="1"/>
    <col min="3" max="3" width="54" style="1" customWidth="1"/>
    <col min="4" max="4" width="34.5546875" style="1" customWidth="1"/>
    <col min="5" max="10" width="9" style="1"/>
    <col min="11" max="11" width="18.44140625" style="1" customWidth="1"/>
    <col min="12" max="1024" width="9" style="1"/>
  </cols>
  <sheetData>
    <row r="1" spans="1:11" ht="24.6" x14ac:dyDescent="0.4">
      <c r="A1" s="2" t="s">
        <v>0</v>
      </c>
    </row>
    <row r="2" spans="1:11" ht="17.399999999999999" x14ac:dyDescent="0.3">
      <c r="A2" s="3" t="s">
        <v>1</v>
      </c>
    </row>
    <row r="3" spans="1:11" ht="17.399999999999999" x14ac:dyDescent="0.3">
      <c r="A3" s="3"/>
    </row>
    <row r="5" spans="1:11" ht="17.399999999999999" x14ac:dyDescent="0.3">
      <c r="A5" s="4" t="s">
        <v>2</v>
      </c>
    </row>
    <row r="6" spans="1:11" x14ac:dyDescent="0.25">
      <c r="D6" s="54" t="s">
        <v>554</v>
      </c>
    </row>
    <row r="7" spans="1:11" x14ac:dyDescent="0.25">
      <c r="A7" s="5" t="s">
        <v>3</v>
      </c>
      <c r="D7" s="54"/>
    </row>
    <row r="8" spans="1:11" x14ac:dyDescent="0.25">
      <c r="D8" s="54"/>
    </row>
    <row r="9" spans="1:11" x14ac:dyDescent="0.25">
      <c r="D9" s="54"/>
    </row>
    <row r="11" spans="1:11" ht="17.399999999999999" x14ac:dyDescent="0.3">
      <c r="A11" s="4" t="s">
        <v>4</v>
      </c>
      <c r="F11" s="53" t="s">
        <v>540</v>
      </c>
      <c r="G11" s="53"/>
      <c r="H11" s="53"/>
      <c r="I11" s="53"/>
      <c r="J11" s="53"/>
      <c r="K11" s="53"/>
    </row>
    <row r="12" spans="1:11" x14ac:dyDescent="0.25">
      <c r="F12" s="53"/>
      <c r="G12" s="53"/>
      <c r="H12" s="53"/>
      <c r="I12" s="53"/>
      <c r="J12" s="53"/>
      <c r="K12" s="53"/>
    </row>
    <row r="13" spans="1:11" x14ac:dyDescent="0.25">
      <c r="A13" s="5" t="s">
        <v>5</v>
      </c>
      <c r="F13" s="53"/>
      <c r="G13" s="53"/>
      <c r="H13" s="53"/>
      <c r="I13" s="53"/>
      <c r="J13" s="53"/>
      <c r="K13" s="53"/>
    </row>
    <row r="14" spans="1:11" x14ac:dyDescent="0.25">
      <c r="F14" s="53"/>
      <c r="G14" s="53"/>
      <c r="H14" s="53"/>
      <c r="I14" s="53"/>
      <c r="J14" s="53"/>
      <c r="K14" s="53"/>
    </row>
    <row r="15" spans="1:11" x14ac:dyDescent="0.25">
      <c r="A15" s="1" t="s">
        <v>6</v>
      </c>
      <c r="F15" s="53"/>
      <c r="G15" s="53"/>
      <c r="H15" s="53"/>
      <c r="I15" s="53"/>
      <c r="J15" s="53"/>
      <c r="K15" s="53"/>
    </row>
    <row r="16" spans="1:11" x14ac:dyDescent="0.25">
      <c r="A16" s="1" t="s">
        <v>7</v>
      </c>
      <c r="F16" s="53"/>
      <c r="G16" s="53"/>
      <c r="H16" s="53"/>
      <c r="I16" s="53"/>
      <c r="J16" s="53"/>
      <c r="K16" s="53"/>
    </row>
    <row r="17" spans="1:11" x14ac:dyDescent="0.25">
      <c r="A17" s="1" t="s">
        <v>8</v>
      </c>
      <c r="F17" s="53"/>
      <c r="G17" s="53"/>
      <c r="H17" s="53"/>
      <c r="I17" s="53"/>
      <c r="J17" s="53"/>
      <c r="K17" s="53"/>
    </row>
    <row r="18" spans="1:11" x14ac:dyDescent="0.25">
      <c r="F18" s="53"/>
      <c r="G18" s="53"/>
      <c r="H18" s="53"/>
      <c r="I18" s="53"/>
      <c r="J18" s="53"/>
      <c r="K18" s="53"/>
    </row>
    <row r="19" spans="1:11" x14ac:dyDescent="0.25">
      <c r="B19" s="6"/>
      <c r="C19" s="7" t="s">
        <v>9</v>
      </c>
      <c r="D19" s="8" t="s">
        <v>10</v>
      </c>
      <c r="F19" s="53"/>
      <c r="G19" s="53"/>
      <c r="H19" s="53"/>
      <c r="I19" s="53"/>
      <c r="J19" s="53"/>
      <c r="K19" s="53"/>
    </row>
    <row r="20" spans="1:11" x14ac:dyDescent="0.25">
      <c r="B20" s="9" t="s">
        <v>11</v>
      </c>
      <c r="C20" s="10"/>
      <c r="D20" s="11"/>
      <c r="F20" s="53"/>
      <c r="G20" s="53"/>
      <c r="H20" s="53"/>
      <c r="I20" s="53"/>
      <c r="J20" s="53"/>
      <c r="K20" s="53"/>
    </row>
    <row r="21" spans="1:11" x14ac:dyDescent="0.25">
      <c r="B21" s="9" t="s">
        <v>12</v>
      </c>
      <c r="C21" s="10"/>
      <c r="D21" s="11"/>
      <c r="F21" s="53"/>
      <c r="G21" s="53"/>
      <c r="H21" s="53"/>
      <c r="I21" s="53"/>
      <c r="J21" s="53"/>
      <c r="K21" s="53"/>
    </row>
    <row r="22" spans="1:11" x14ac:dyDescent="0.25">
      <c r="B22" s="12" t="s">
        <v>13</v>
      </c>
      <c r="C22" s="13"/>
      <c r="D22" s="14"/>
      <c r="F22" s="53"/>
      <c r="G22" s="53"/>
      <c r="H22" s="53"/>
      <c r="I22" s="53"/>
      <c r="J22" s="53"/>
      <c r="K22" s="53"/>
    </row>
    <row r="27" spans="1:11" ht="17.399999999999999" x14ac:dyDescent="0.3">
      <c r="A27" s="4" t="s">
        <v>14</v>
      </c>
    </row>
    <row r="29" spans="1:11" x14ac:dyDescent="0.25">
      <c r="A29" s="5" t="s">
        <v>5</v>
      </c>
    </row>
    <row r="31" spans="1:11" x14ac:dyDescent="0.25">
      <c r="A31" s="15" t="s">
        <v>15</v>
      </c>
    </row>
    <row r="32" spans="1:11" ht="24" customHeight="1" x14ac:dyDescent="0.25">
      <c r="A32" s="45" t="s">
        <v>548</v>
      </c>
      <c r="E32" s="54" t="s">
        <v>553</v>
      </c>
      <c r="F32" s="54"/>
      <c r="G32" s="54"/>
      <c r="H32" s="54"/>
    </row>
    <row r="33" spans="1:11" ht="21.6" customHeight="1" x14ac:dyDescent="0.25">
      <c r="A33" s="45" t="s">
        <v>16</v>
      </c>
      <c r="E33" s="54"/>
      <c r="F33" s="54"/>
      <c r="G33" s="54"/>
      <c r="H33" s="54"/>
    </row>
    <row r="34" spans="1:11" ht="21.6" customHeight="1" x14ac:dyDescent="0.25">
      <c r="A34" s="45" t="s">
        <v>17</v>
      </c>
      <c r="E34" s="54" t="s">
        <v>555</v>
      </c>
      <c r="F34" s="54"/>
      <c r="G34" s="54"/>
      <c r="H34" s="54"/>
    </row>
    <row r="35" spans="1:11" ht="27.6" customHeight="1" x14ac:dyDescent="0.25">
      <c r="A35" s="45" t="s">
        <v>18</v>
      </c>
      <c r="E35" s="54"/>
      <c r="F35" s="54"/>
      <c r="G35" s="54"/>
      <c r="H35" s="54"/>
    </row>
    <row r="36" spans="1:11" ht="26.4" customHeight="1" x14ac:dyDescent="0.25">
      <c r="A36" s="45" t="s">
        <v>19</v>
      </c>
      <c r="E36" s="54"/>
      <c r="F36" s="54"/>
      <c r="G36" s="54"/>
      <c r="H36" s="54"/>
    </row>
    <row r="37" spans="1:11" ht="59.4" customHeight="1" x14ac:dyDescent="0.25">
      <c r="A37" s="48" t="s">
        <v>20</v>
      </c>
      <c r="E37" s="55" t="s">
        <v>556</v>
      </c>
      <c r="F37" s="55"/>
      <c r="G37" s="55"/>
      <c r="H37" s="55"/>
      <c r="I37" s="55"/>
      <c r="J37" s="55"/>
      <c r="K37" s="55"/>
    </row>
    <row r="38" spans="1:11" ht="210" customHeight="1" x14ac:dyDescent="0.25">
      <c r="A38" s="48" t="s">
        <v>21</v>
      </c>
      <c r="E38" s="51" t="s">
        <v>560</v>
      </c>
      <c r="F38" s="52"/>
      <c r="G38" s="52"/>
      <c r="H38" s="52"/>
      <c r="I38" s="52"/>
      <c r="J38" s="52"/>
      <c r="K38" s="52"/>
    </row>
    <row r="39" spans="1:11" ht="223.8" customHeight="1" x14ac:dyDescent="0.25">
      <c r="A39" s="48" t="s">
        <v>22</v>
      </c>
      <c r="E39" s="51" t="s">
        <v>561</v>
      </c>
      <c r="F39" s="51"/>
      <c r="G39" s="51"/>
      <c r="H39" s="51"/>
      <c r="I39" s="51"/>
      <c r="J39" s="51"/>
      <c r="K39" s="51"/>
    </row>
    <row r="40" spans="1:11" x14ac:dyDescent="0.25">
      <c r="A40" s="16"/>
    </row>
    <row r="41" spans="1:11" x14ac:dyDescent="0.25">
      <c r="A41" s="16"/>
    </row>
    <row r="43" spans="1:11" ht="17.399999999999999" x14ac:dyDescent="0.3">
      <c r="A43" s="4" t="s">
        <v>23</v>
      </c>
    </row>
    <row r="45" spans="1:11" x14ac:dyDescent="0.25">
      <c r="A45" s="5" t="s">
        <v>24</v>
      </c>
    </row>
    <row r="46" spans="1:11" x14ac:dyDescent="0.25">
      <c r="A46" s="5"/>
    </row>
    <row r="47" spans="1:11" x14ac:dyDescent="0.25">
      <c r="A47" s="1" t="s">
        <v>25</v>
      </c>
      <c r="E47" s="54" t="s">
        <v>557</v>
      </c>
      <c r="F47" s="54"/>
      <c r="G47" s="54"/>
      <c r="H47" s="54"/>
      <c r="I47" s="54"/>
      <c r="J47" s="54"/>
    </row>
    <row r="48" spans="1:11" x14ac:dyDescent="0.25">
      <c r="A48" s="1" t="s">
        <v>26</v>
      </c>
      <c r="E48" s="54"/>
      <c r="F48" s="54"/>
      <c r="G48" s="54"/>
      <c r="H48" s="54"/>
      <c r="I48" s="54"/>
      <c r="J48" s="54"/>
    </row>
    <row r="49" spans="1:10" x14ac:dyDescent="0.25">
      <c r="A49" s="1" t="s">
        <v>27</v>
      </c>
      <c r="E49" s="54"/>
      <c r="F49" s="54"/>
      <c r="G49" s="54"/>
      <c r="H49" s="54"/>
      <c r="I49" s="54"/>
      <c r="J49" s="54"/>
    </row>
    <row r="50" spans="1:10" x14ac:dyDescent="0.25">
      <c r="A50" s="1" t="s">
        <v>28</v>
      </c>
      <c r="E50" s="54"/>
      <c r="F50" s="54"/>
      <c r="G50" s="54"/>
      <c r="H50" s="54"/>
      <c r="I50" s="54"/>
      <c r="J50" s="54"/>
    </row>
    <row r="51" spans="1:10" x14ac:dyDescent="0.25">
      <c r="A51" s="1" t="s">
        <v>29</v>
      </c>
      <c r="E51" s="54"/>
      <c r="F51" s="54"/>
      <c r="G51" s="54"/>
      <c r="H51" s="54"/>
      <c r="I51" s="54"/>
      <c r="J51" s="54"/>
    </row>
    <row r="52" spans="1:10" ht="12" customHeight="1" x14ac:dyDescent="0.25">
      <c r="E52" s="47"/>
      <c r="F52" s="47"/>
      <c r="G52" s="47"/>
      <c r="H52" s="47"/>
      <c r="I52" s="47"/>
      <c r="J52" s="47"/>
    </row>
    <row r="53" spans="1:10" ht="46.2" customHeight="1" x14ac:dyDescent="0.25">
      <c r="A53" s="51" t="s">
        <v>558</v>
      </c>
      <c r="B53" s="52"/>
      <c r="C53" s="52"/>
      <c r="E53" s="47"/>
      <c r="F53" s="47"/>
      <c r="G53" s="47"/>
      <c r="H53" s="47"/>
      <c r="I53" s="47"/>
      <c r="J53" s="47"/>
    </row>
    <row r="54" spans="1:10" x14ac:dyDescent="0.25">
      <c r="E54" s="47"/>
      <c r="F54" s="47"/>
      <c r="G54" s="47"/>
      <c r="H54" s="47"/>
      <c r="I54" s="47"/>
      <c r="J54" s="47"/>
    </row>
    <row r="55" spans="1:10" x14ac:dyDescent="0.25">
      <c r="A55" s="1" t="s">
        <v>30</v>
      </c>
    </row>
    <row r="56" spans="1:10" x14ac:dyDescent="0.25">
      <c r="A56" s="1" t="s">
        <v>31</v>
      </c>
    </row>
    <row r="58" spans="1:10" x14ac:dyDescent="0.25">
      <c r="B58" s="17"/>
      <c r="C58" s="18" t="s">
        <v>32</v>
      </c>
      <c r="D58" s="19" t="s">
        <v>33</v>
      </c>
    </row>
    <row r="59" spans="1:10" x14ac:dyDescent="0.25">
      <c r="B59" s="20">
        <v>1</v>
      </c>
      <c r="C59" s="10" t="s">
        <v>414</v>
      </c>
      <c r="D59" s="11" t="s">
        <v>322</v>
      </c>
    </row>
    <row r="60" spans="1:10" x14ac:dyDescent="0.25">
      <c r="B60" s="20">
        <v>2</v>
      </c>
      <c r="C60" s="10" t="s">
        <v>466</v>
      </c>
      <c r="D60" s="11" t="s">
        <v>442</v>
      </c>
    </row>
    <row r="61" spans="1:10" x14ac:dyDescent="0.25">
      <c r="B61" s="20">
        <v>3</v>
      </c>
      <c r="C61" s="10" t="s">
        <v>148</v>
      </c>
      <c r="D61" s="11" t="s">
        <v>394</v>
      </c>
    </row>
    <row r="62" spans="1:10" x14ac:dyDescent="0.25">
      <c r="B62" s="20">
        <v>4</v>
      </c>
      <c r="C62" s="10" t="s">
        <v>398</v>
      </c>
      <c r="D62" s="11" t="s">
        <v>142</v>
      </c>
    </row>
    <row r="63" spans="1:10" x14ac:dyDescent="0.25">
      <c r="B63" s="21">
        <v>5</v>
      </c>
      <c r="C63" s="13" t="s">
        <v>438</v>
      </c>
      <c r="D63" s="14" t="s">
        <v>354</v>
      </c>
    </row>
    <row r="65" spans="1:4" x14ac:dyDescent="0.25">
      <c r="A65" s="1" t="s">
        <v>34</v>
      </c>
    </row>
    <row r="66" spans="1:4" x14ac:dyDescent="0.25">
      <c r="A66" s="1" t="s">
        <v>31</v>
      </c>
    </row>
    <row r="68" spans="1:4" x14ac:dyDescent="0.25">
      <c r="B68" s="17"/>
      <c r="C68" s="18" t="s">
        <v>32</v>
      </c>
      <c r="D68" s="19" t="s">
        <v>33</v>
      </c>
    </row>
    <row r="69" spans="1:4" x14ac:dyDescent="0.25">
      <c r="B69" s="20">
        <v>1</v>
      </c>
      <c r="C69" s="10" t="s">
        <v>414</v>
      </c>
      <c r="D69" s="11" t="s">
        <v>354</v>
      </c>
    </row>
    <row r="70" spans="1:4" x14ac:dyDescent="0.25">
      <c r="B70" s="20">
        <v>2</v>
      </c>
      <c r="C70" s="10" t="s">
        <v>466</v>
      </c>
      <c r="D70" s="11" t="s">
        <v>442</v>
      </c>
    </row>
    <row r="71" spans="1:4" x14ac:dyDescent="0.25">
      <c r="B71" s="20">
        <v>3</v>
      </c>
      <c r="C71" s="10" t="s">
        <v>398</v>
      </c>
      <c r="D71" s="11" t="s">
        <v>322</v>
      </c>
    </row>
    <row r="72" spans="1:4" x14ac:dyDescent="0.25">
      <c r="B72" s="20">
        <v>4</v>
      </c>
      <c r="C72" s="10" t="s">
        <v>148</v>
      </c>
      <c r="D72" s="11" t="s">
        <v>352</v>
      </c>
    </row>
    <row r="73" spans="1:4" x14ac:dyDescent="0.25">
      <c r="B73" s="21">
        <v>5</v>
      </c>
      <c r="C73" s="13" t="s">
        <v>438</v>
      </c>
      <c r="D73" s="14" t="s">
        <v>206</v>
      </c>
    </row>
    <row r="78" spans="1:4" ht="17.399999999999999" x14ac:dyDescent="0.3">
      <c r="A78" s="4" t="s">
        <v>35</v>
      </c>
    </row>
    <row r="80" spans="1:4" x14ac:dyDescent="0.25">
      <c r="A80" s="1" t="s">
        <v>36</v>
      </c>
      <c r="D80" s="54" t="s">
        <v>559</v>
      </c>
    </row>
    <row r="81" spans="1:4" x14ac:dyDescent="0.25">
      <c r="A81" s="1" t="s">
        <v>37</v>
      </c>
      <c r="B81" s="1" t="s">
        <v>38</v>
      </c>
      <c r="D81" s="54"/>
    </row>
    <row r="82" spans="1:4" x14ac:dyDescent="0.25">
      <c r="A82" s="1" t="s">
        <v>39</v>
      </c>
      <c r="B82" s="1" t="s">
        <v>40</v>
      </c>
      <c r="D82" s="54"/>
    </row>
    <row r="83" spans="1:4" x14ac:dyDescent="0.25">
      <c r="A83" s="1" t="s">
        <v>41</v>
      </c>
      <c r="B83" s="1" t="s">
        <v>42</v>
      </c>
      <c r="D83" s="54"/>
    </row>
    <row r="84" spans="1:4" x14ac:dyDescent="0.25">
      <c r="A84" s="1" t="s">
        <v>43</v>
      </c>
      <c r="B84" s="1" t="s">
        <v>44</v>
      </c>
      <c r="D84" s="54"/>
    </row>
    <row r="85" spans="1:4" x14ac:dyDescent="0.25">
      <c r="D85" s="54"/>
    </row>
    <row r="86" spans="1:4" x14ac:dyDescent="0.25">
      <c r="A86" s="1" t="s">
        <v>45</v>
      </c>
    </row>
  </sheetData>
  <mergeCells count="10">
    <mergeCell ref="D80:D85"/>
    <mergeCell ref="E37:K37"/>
    <mergeCell ref="E38:K38"/>
    <mergeCell ref="E39:K39"/>
    <mergeCell ref="E47:J51"/>
    <mergeCell ref="A53:C53"/>
    <mergeCell ref="F11:K22"/>
    <mergeCell ref="D6:D9"/>
    <mergeCell ref="E32:H33"/>
    <mergeCell ref="E34:H36"/>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9"/>
  <sheetViews>
    <sheetView topLeftCell="A9" zoomScale="85" zoomScaleNormal="85" workbookViewId="0">
      <selection activeCell="R4" sqref="R4"/>
    </sheetView>
  </sheetViews>
  <sheetFormatPr baseColWidth="10" defaultColWidth="9" defaultRowHeight="13.2" x14ac:dyDescent="0.25"/>
  <cols>
    <col min="1" max="1024" width="9" style="22"/>
  </cols>
  <sheetData>
    <row r="1" spans="1:12" ht="22.8" x14ac:dyDescent="0.4">
      <c r="A1" s="23" t="s">
        <v>46</v>
      </c>
    </row>
    <row r="3" spans="1:12" x14ac:dyDescent="0.25">
      <c r="A3" s="24" t="s">
        <v>47</v>
      </c>
    </row>
    <row r="4" spans="1:12" x14ac:dyDescent="0.25">
      <c r="A4" s="24" t="s">
        <v>48</v>
      </c>
    </row>
    <row r="6" spans="1:12" x14ac:dyDescent="0.25">
      <c r="B6" s="25" t="s">
        <v>49</v>
      </c>
    </row>
    <row r="7" spans="1:12" x14ac:dyDescent="0.25">
      <c r="B7" s="25" t="s">
        <v>50</v>
      </c>
    </row>
    <row r="9" spans="1:12" x14ac:dyDescent="0.25">
      <c r="B9" s="22" t="s">
        <v>51</v>
      </c>
      <c r="C9" s="22" t="s">
        <v>52</v>
      </c>
      <c r="H9" s="22" t="s">
        <v>51</v>
      </c>
      <c r="I9" s="22" t="s">
        <v>542</v>
      </c>
      <c r="J9" s="22">
        <v>1</v>
      </c>
      <c r="K9" s="22" t="s">
        <v>541</v>
      </c>
      <c r="L9" s="22">
        <v>0</v>
      </c>
    </row>
    <row r="10" spans="1:12" x14ac:dyDescent="0.25">
      <c r="B10" s="22" t="s">
        <v>53</v>
      </c>
      <c r="C10" s="22" t="s">
        <v>54</v>
      </c>
      <c r="H10" s="22" t="s">
        <v>53</v>
      </c>
      <c r="I10" s="22" t="s">
        <v>542</v>
      </c>
      <c r="J10" s="22">
        <v>2</v>
      </c>
      <c r="K10" s="22" t="s">
        <v>541</v>
      </c>
      <c r="L10" s="22">
        <v>0</v>
      </c>
    </row>
    <row r="11" spans="1:12" x14ac:dyDescent="0.25">
      <c r="B11" s="22" t="s">
        <v>55</v>
      </c>
      <c r="C11" s="22" t="s">
        <v>56</v>
      </c>
      <c r="H11" s="22" t="s">
        <v>55</v>
      </c>
      <c r="I11" s="22" t="s">
        <v>542</v>
      </c>
      <c r="J11" s="22">
        <v>3</v>
      </c>
      <c r="K11" s="22" t="s">
        <v>541</v>
      </c>
      <c r="L11" s="22">
        <v>0</v>
      </c>
    </row>
    <row r="12" spans="1:12" x14ac:dyDescent="0.25">
      <c r="B12" s="22" t="s">
        <v>57</v>
      </c>
      <c r="C12" s="22" t="s">
        <v>58</v>
      </c>
      <c r="H12" s="22" t="s">
        <v>57</v>
      </c>
      <c r="I12" s="22" t="s">
        <v>542</v>
      </c>
      <c r="J12" s="22">
        <v>2</v>
      </c>
      <c r="K12" s="22" t="s">
        <v>541</v>
      </c>
      <c r="L12" s="22">
        <v>50</v>
      </c>
    </row>
    <row r="13" spans="1:12" x14ac:dyDescent="0.25">
      <c r="B13" s="22" t="s">
        <v>59</v>
      </c>
      <c r="C13" s="22" t="s">
        <v>60</v>
      </c>
    </row>
    <row r="14" spans="1:12" x14ac:dyDescent="0.25">
      <c r="B14" s="22" t="s">
        <v>61</v>
      </c>
      <c r="C14" s="22" t="s">
        <v>62</v>
      </c>
    </row>
    <row r="15" spans="1:12" x14ac:dyDescent="0.25">
      <c r="B15" s="22" t="s">
        <v>63</v>
      </c>
      <c r="C15" s="22" t="s">
        <v>64</v>
      </c>
    </row>
    <row r="19" spans="1:9" x14ac:dyDescent="0.25">
      <c r="A19" s="26" t="s">
        <v>65</v>
      </c>
      <c r="B19" s="27" t="s">
        <v>66</v>
      </c>
      <c r="C19" s="27" t="s">
        <v>51</v>
      </c>
      <c r="D19" s="27" t="s">
        <v>53</v>
      </c>
      <c r="E19" s="27" t="s">
        <v>55</v>
      </c>
      <c r="F19" s="27" t="s">
        <v>57</v>
      </c>
      <c r="G19" s="27" t="s">
        <v>59</v>
      </c>
      <c r="H19" s="27" t="s">
        <v>61</v>
      </c>
      <c r="I19" s="27" t="s">
        <v>63</v>
      </c>
    </row>
    <row r="20" spans="1:9" x14ac:dyDescent="0.25">
      <c r="A20" s="22" t="s">
        <v>67</v>
      </c>
      <c r="B20" s="22">
        <v>94</v>
      </c>
      <c r="C20" s="22">
        <f>J$9*B20+L$9</f>
        <v>94</v>
      </c>
      <c r="D20" s="22">
        <f>J$10*B20+L$10</f>
        <v>188</v>
      </c>
      <c r="E20" s="22">
        <f>J$11*B20+L$11</f>
        <v>282</v>
      </c>
      <c r="F20" s="22">
        <f>J$12*B20+L$12</f>
        <v>238</v>
      </c>
      <c r="G20" s="22">
        <f>B20^2</f>
        <v>8836</v>
      </c>
      <c r="H20" s="32">
        <f>1/B20</f>
        <v>1.0638297872340425E-2</v>
      </c>
      <c r="I20" s="32">
        <f>SQRT(B20)</f>
        <v>9.6953597148326587</v>
      </c>
    </row>
    <row r="21" spans="1:9" x14ac:dyDescent="0.25">
      <c r="A21" s="22" t="s">
        <v>68</v>
      </c>
      <c r="B21" s="22">
        <v>29</v>
      </c>
      <c r="C21" s="22">
        <f t="shared" ref="C21:C49" si="0">J$9*B21+L$9</f>
        <v>29</v>
      </c>
      <c r="D21" s="22">
        <f t="shared" ref="D21:D49" si="1">J$10*B21+L$10</f>
        <v>58</v>
      </c>
      <c r="E21" s="22">
        <f t="shared" ref="E21:E49" si="2">J$11*B21+L$11</f>
        <v>87</v>
      </c>
      <c r="F21" s="22">
        <f t="shared" ref="F21:F49" si="3">J$12*B21+L$12</f>
        <v>108</v>
      </c>
      <c r="G21" s="22">
        <f t="shared" ref="G21:G49" si="4">B21^2</f>
        <v>841</v>
      </c>
      <c r="H21" s="32">
        <f t="shared" ref="H21:H49" si="5">1/B21</f>
        <v>3.4482758620689655E-2</v>
      </c>
      <c r="I21" s="32">
        <f t="shared" ref="I21:I49" si="6">SQRT(B21)</f>
        <v>5.3851648071345037</v>
      </c>
    </row>
    <row r="22" spans="1:9" x14ac:dyDescent="0.25">
      <c r="A22" s="22" t="s">
        <v>69</v>
      </c>
      <c r="B22" s="22">
        <v>5</v>
      </c>
      <c r="C22" s="22">
        <f t="shared" si="0"/>
        <v>5</v>
      </c>
      <c r="D22" s="22">
        <f t="shared" si="1"/>
        <v>10</v>
      </c>
      <c r="E22" s="22">
        <f t="shared" si="2"/>
        <v>15</v>
      </c>
      <c r="F22" s="22">
        <f t="shared" si="3"/>
        <v>60</v>
      </c>
      <c r="G22" s="22">
        <f t="shared" si="4"/>
        <v>25</v>
      </c>
      <c r="H22" s="32">
        <f t="shared" si="5"/>
        <v>0.2</v>
      </c>
      <c r="I22" s="32">
        <f t="shared" si="6"/>
        <v>2.2360679774997898</v>
      </c>
    </row>
    <row r="23" spans="1:9" x14ac:dyDescent="0.25">
      <c r="A23" s="22" t="s">
        <v>70</v>
      </c>
      <c r="B23" s="22">
        <v>18</v>
      </c>
      <c r="C23" s="22">
        <f t="shared" si="0"/>
        <v>18</v>
      </c>
      <c r="D23" s="22">
        <f t="shared" si="1"/>
        <v>36</v>
      </c>
      <c r="E23" s="22">
        <f t="shared" si="2"/>
        <v>54</v>
      </c>
      <c r="F23" s="22">
        <f t="shared" si="3"/>
        <v>86</v>
      </c>
      <c r="G23" s="22">
        <f t="shared" si="4"/>
        <v>324</v>
      </c>
      <c r="H23" s="32">
        <f t="shared" si="5"/>
        <v>5.5555555555555552E-2</v>
      </c>
      <c r="I23" s="32">
        <f t="shared" si="6"/>
        <v>4.2426406871192848</v>
      </c>
    </row>
    <row r="24" spans="1:9" x14ac:dyDescent="0.25">
      <c r="A24" s="22" t="s">
        <v>71</v>
      </c>
      <c r="B24" s="22">
        <v>15</v>
      </c>
      <c r="C24" s="22">
        <f t="shared" si="0"/>
        <v>15</v>
      </c>
      <c r="D24" s="22">
        <f t="shared" si="1"/>
        <v>30</v>
      </c>
      <c r="E24" s="22">
        <f t="shared" si="2"/>
        <v>45</v>
      </c>
      <c r="F24" s="22">
        <f t="shared" si="3"/>
        <v>80</v>
      </c>
      <c r="G24" s="22">
        <f t="shared" si="4"/>
        <v>225</v>
      </c>
      <c r="H24" s="32">
        <f t="shared" si="5"/>
        <v>6.6666666666666666E-2</v>
      </c>
      <c r="I24" s="32">
        <f t="shared" si="6"/>
        <v>3.872983346207417</v>
      </c>
    </row>
    <row r="25" spans="1:9" x14ac:dyDescent="0.25">
      <c r="A25" s="22" t="s">
        <v>72</v>
      </c>
      <c r="B25" s="22">
        <v>55</v>
      </c>
      <c r="C25" s="22">
        <f t="shared" si="0"/>
        <v>55</v>
      </c>
      <c r="D25" s="22">
        <f t="shared" si="1"/>
        <v>110</v>
      </c>
      <c r="E25" s="22">
        <f t="shared" si="2"/>
        <v>165</v>
      </c>
      <c r="F25" s="22">
        <f t="shared" si="3"/>
        <v>160</v>
      </c>
      <c r="G25" s="22">
        <f t="shared" si="4"/>
        <v>3025</v>
      </c>
      <c r="H25" s="32">
        <f t="shared" si="5"/>
        <v>1.8181818181818181E-2</v>
      </c>
      <c r="I25" s="32">
        <f t="shared" si="6"/>
        <v>7.416198487095663</v>
      </c>
    </row>
    <row r="26" spans="1:9" x14ac:dyDescent="0.25">
      <c r="A26" s="22" t="s">
        <v>73</v>
      </c>
      <c r="B26" s="22">
        <v>58</v>
      </c>
      <c r="C26" s="22">
        <f t="shared" si="0"/>
        <v>58</v>
      </c>
      <c r="D26" s="22">
        <f t="shared" si="1"/>
        <v>116</v>
      </c>
      <c r="E26" s="22">
        <f t="shared" si="2"/>
        <v>174</v>
      </c>
      <c r="F26" s="22">
        <f t="shared" si="3"/>
        <v>166</v>
      </c>
      <c r="G26" s="22">
        <f t="shared" si="4"/>
        <v>3364</v>
      </c>
      <c r="H26" s="32">
        <f t="shared" si="5"/>
        <v>1.7241379310344827E-2</v>
      </c>
      <c r="I26" s="32">
        <f t="shared" si="6"/>
        <v>7.6157731058639087</v>
      </c>
    </row>
    <row r="27" spans="1:9" x14ac:dyDescent="0.25">
      <c r="A27" s="22" t="s">
        <v>74</v>
      </c>
      <c r="B27" s="22">
        <v>79</v>
      </c>
      <c r="C27" s="22">
        <f t="shared" si="0"/>
        <v>79</v>
      </c>
      <c r="D27" s="22">
        <f t="shared" si="1"/>
        <v>158</v>
      </c>
      <c r="E27" s="22">
        <f t="shared" si="2"/>
        <v>237</v>
      </c>
      <c r="F27" s="22">
        <f t="shared" si="3"/>
        <v>208</v>
      </c>
      <c r="G27" s="22">
        <f t="shared" si="4"/>
        <v>6241</v>
      </c>
      <c r="H27" s="32">
        <f t="shared" si="5"/>
        <v>1.2658227848101266E-2</v>
      </c>
      <c r="I27" s="32">
        <f t="shared" si="6"/>
        <v>8.8881944173155887</v>
      </c>
    </row>
    <row r="28" spans="1:9" x14ac:dyDescent="0.25">
      <c r="A28" s="22" t="s">
        <v>75</v>
      </c>
      <c r="B28" s="22">
        <v>43</v>
      </c>
      <c r="C28" s="22">
        <f t="shared" si="0"/>
        <v>43</v>
      </c>
      <c r="D28" s="22">
        <f t="shared" si="1"/>
        <v>86</v>
      </c>
      <c r="E28" s="22">
        <f t="shared" si="2"/>
        <v>129</v>
      </c>
      <c r="F28" s="22">
        <f t="shared" si="3"/>
        <v>136</v>
      </c>
      <c r="G28" s="22">
        <f t="shared" si="4"/>
        <v>1849</v>
      </c>
      <c r="H28" s="32">
        <f t="shared" si="5"/>
        <v>2.3255813953488372E-2</v>
      </c>
      <c r="I28" s="32">
        <f t="shared" si="6"/>
        <v>6.5574385243020004</v>
      </c>
    </row>
    <row r="29" spans="1:9" x14ac:dyDescent="0.25">
      <c r="A29" s="22" t="s">
        <v>76</v>
      </c>
      <c r="B29" s="22">
        <v>95</v>
      </c>
      <c r="C29" s="22">
        <f t="shared" si="0"/>
        <v>95</v>
      </c>
      <c r="D29" s="22">
        <f t="shared" si="1"/>
        <v>190</v>
      </c>
      <c r="E29" s="22">
        <f t="shared" si="2"/>
        <v>285</v>
      </c>
      <c r="F29" s="22">
        <f t="shared" si="3"/>
        <v>240</v>
      </c>
      <c r="G29" s="22">
        <f t="shared" si="4"/>
        <v>9025</v>
      </c>
      <c r="H29" s="32">
        <f t="shared" si="5"/>
        <v>1.0526315789473684E-2</v>
      </c>
      <c r="I29" s="32">
        <f t="shared" si="6"/>
        <v>9.7467943448089631</v>
      </c>
    </row>
    <row r="30" spans="1:9" x14ac:dyDescent="0.25">
      <c r="A30" s="22" t="s">
        <v>77</v>
      </c>
      <c r="B30" s="22">
        <v>4</v>
      </c>
      <c r="C30" s="22">
        <f t="shared" si="0"/>
        <v>4</v>
      </c>
      <c r="D30" s="22">
        <f t="shared" si="1"/>
        <v>8</v>
      </c>
      <c r="E30" s="22">
        <f t="shared" si="2"/>
        <v>12</v>
      </c>
      <c r="F30" s="22">
        <f t="shared" si="3"/>
        <v>58</v>
      </c>
      <c r="G30" s="22">
        <f t="shared" si="4"/>
        <v>16</v>
      </c>
      <c r="H30" s="32">
        <f t="shared" si="5"/>
        <v>0.25</v>
      </c>
      <c r="I30" s="32">
        <f t="shared" si="6"/>
        <v>2</v>
      </c>
    </row>
    <row r="31" spans="1:9" x14ac:dyDescent="0.25">
      <c r="A31" s="22" t="s">
        <v>78</v>
      </c>
      <c r="B31" s="22">
        <v>45</v>
      </c>
      <c r="C31" s="22">
        <f t="shared" si="0"/>
        <v>45</v>
      </c>
      <c r="D31" s="22">
        <f t="shared" si="1"/>
        <v>90</v>
      </c>
      <c r="E31" s="22">
        <f t="shared" si="2"/>
        <v>135</v>
      </c>
      <c r="F31" s="22">
        <f t="shared" si="3"/>
        <v>140</v>
      </c>
      <c r="G31" s="22">
        <f t="shared" si="4"/>
        <v>2025</v>
      </c>
      <c r="H31" s="32">
        <f t="shared" si="5"/>
        <v>2.2222222222222223E-2</v>
      </c>
      <c r="I31" s="32">
        <f t="shared" si="6"/>
        <v>6.7082039324993694</v>
      </c>
    </row>
    <row r="32" spans="1:9" x14ac:dyDescent="0.25">
      <c r="A32" s="22" t="s">
        <v>79</v>
      </c>
      <c r="B32" s="22">
        <v>63</v>
      </c>
      <c r="C32" s="22">
        <f t="shared" si="0"/>
        <v>63</v>
      </c>
      <c r="D32" s="22">
        <f t="shared" si="1"/>
        <v>126</v>
      </c>
      <c r="E32" s="22">
        <f t="shared" si="2"/>
        <v>189</v>
      </c>
      <c r="F32" s="22">
        <f t="shared" si="3"/>
        <v>176</v>
      </c>
      <c r="G32" s="22">
        <f t="shared" si="4"/>
        <v>3969</v>
      </c>
      <c r="H32" s="32">
        <f t="shared" si="5"/>
        <v>1.5873015873015872E-2</v>
      </c>
      <c r="I32" s="32">
        <f t="shared" si="6"/>
        <v>7.9372539331937721</v>
      </c>
    </row>
    <row r="33" spans="1:9" x14ac:dyDescent="0.25">
      <c r="A33" s="22" t="s">
        <v>80</v>
      </c>
      <c r="B33" s="22">
        <v>46</v>
      </c>
      <c r="C33" s="22">
        <f t="shared" si="0"/>
        <v>46</v>
      </c>
      <c r="D33" s="22">
        <f t="shared" si="1"/>
        <v>92</v>
      </c>
      <c r="E33" s="22">
        <f t="shared" si="2"/>
        <v>138</v>
      </c>
      <c r="F33" s="22">
        <f t="shared" si="3"/>
        <v>142</v>
      </c>
      <c r="G33" s="22">
        <f t="shared" si="4"/>
        <v>2116</v>
      </c>
      <c r="H33" s="32">
        <f t="shared" si="5"/>
        <v>2.1739130434782608E-2</v>
      </c>
      <c r="I33" s="32">
        <f t="shared" si="6"/>
        <v>6.7823299831252681</v>
      </c>
    </row>
    <row r="34" spans="1:9" x14ac:dyDescent="0.25">
      <c r="A34" s="22" t="s">
        <v>81</v>
      </c>
      <c r="B34" s="22">
        <v>32</v>
      </c>
      <c r="C34" s="22">
        <f t="shared" si="0"/>
        <v>32</v>
      </c>
      <c r="D34" s="22">
        <f t="shared" si="1"/>
        <v>64</v>
      </c>
      <c r="E34" s="22">
        <f t="shared" si="2"/>
        <v>96</v>
      </c>
      <c r="F34" s="22">
        <f t="shared" si="3"/>
        <v>114</v>
      </c>
      <c r="G34" s="22">
        <f t="shared" si="4"/>
        <v>1024</v>
      </c>
      <c r="H34" s="32">
        <f t="shared" si="5"/>
        <v>3.125E-2</v>
      </c>
      <c r="I34" s="32">
        <f t="shared" si="6"/>
        <v>5.6568542494923806</v>
      </c>
    </row>
    <row r="35" spans="1:9" x14ac:dyDescent="0.25">
      <c r="A35" s="22" t="s">
        <v>82</v>
      </c>
      <c r="B35" s="22">
        <v>34</v>
      </c>
      <c r="C35" s="22">
        <f t="shared" si="0"/>
        <v>34</v>
      </c>
      <c r="D35" s="22">
        <f t="shared" si="1"/>
        <v>68</v>
      </c>
      <c r="E35" s="22">
        <f t="shared" si="2"/>
        <v>102</v>
      </c>
      <c r="F35" s="22">
        <f t="shared" si="3"/>
        <v>118</v>
      </c>
      <c r="G35" s="22">
        <f t="shared" si="4"/>
        <v>1156</v>
      </c>
      <c r="H35" s="32">
        <f t="shared" si="5"/>
        <v>2.9411764705882353E-2</v>
      </c>
      <c r="I35" s="32">
        <f t="shared" si="6"/>
        <v>5.8309518948453007</v>
      </c>
    </row>
    <row r="36" spans="1:9" x14ac:dyDescent="0.25">
      <c r="A36" s="22" t="s">
        <v>83</v>
      </c>
      <c r="B36" s="22">
        <v>77</v>
      </c>
      <c r="C36" s="22">
        <f t="shared" si="0"/>
        <v>77</v>
      </c>
      <c r="D36" s="22">
        <f t="shared" si="1"/>
        <v>154</v>
      </c>
      <c r="E36" s="22">
        <f t="shared" si="2"/>
        <v>231</v>
      </c>
      <c r="F36" s="22">
        <f t="shared" si="3"/>
        <v>204</v>
      </c>
      <c r="G36" s="22">
        <f t="shared" si="4"/>
        <v>5929</v>
      </c>
      <c r="H36" s="32">
        <f t="shared" si="5"/>
        <v>1.2987012987012988E-2</v>
      </c>
      <c r="I36" s="32">
        <f t="shared" si="6"/>
        <v>8.7749643873921226</v>
      </c>
    </row>
    <row r="37" spans="1:9" x14ac:dyDescent="0.25">
      <c r="A37" s="22" t="s">
        <v>84</v>
      </c>
      <c r="B37" s="22">
        <v>10</v>
      </c>
      <c r="C37" s="22">
        <f t="shared" si="0"/>
        <v>10</v>
      </c>
      <c r="D37" s="22">
        <f t="shared" si="1"/>
        <v>20</v>
      </c>
      <c r="E37" s="22">
        <f t="shared" si="2"/>
        <v>30</v>
      </c>
      <c r="F37" s="22">
        <f t="shared" si="3"/>
        <v>70</v>
      </c>
      <c r="G37" s="22">
        <f t="shared" si="4"/>
        <v>100</v>
      </c>
      <c r="H37" s="32">
        <f t="shared" si="5"/>
        <v>0.1</v>
      </c>
      <c r="I37" s="32">
        <f t="shared" si="6"/>
        <v>3.1622776601683795</v>
      </c>
    </row>
    <row r="38" spans="1:9" x14ac:dyDescent="0.25">
      <c r="A38" s="22" t="s">
        <v>85</v>
      </c>
      <c r="B38" s="22">
        <v>23</v>
      </c>
      <c r="C38" s="22">
        <f t="shared" si="0"/>
        <v>23</v>
      </c>
      <c r="D38" s="22">
        <f t="shared" si="1"/>
        <v>46</v>
      </c>
      <c r="E38" s="22">
        <f t="shared" si="2"/>
        <v>69</v>
      </c>
      <c r="F38" s="22">
        <f t="shared" si="3"/>
        <v>96</v>
      </c>
      <c r="G38" s="22">
        <f t="shared" si="4"/>
        <v>529</v>
      </c>
      <c r="H38" s="32">
        <f t="shared" si="5"/>
        <v>4.3478260869565216E-2</v>
      </c>
      <c r="I38" s="32">
        <f t="shared" si="6"/>
        <v>4.7958315233127191</v>
      </c>
    </row>
    <row r="39" spans="1:9" x14ac:dyDescent="0.25">
      <c r="A39" s="22" t="s">
        <v>86</v>
      </c>
      <c r="B39" s="22">
        <v>88</v>
      </c>
      <c r="C39" s="22">
        <f t="shared" si="0"/>
        <v>88</v>
      </c>
      <c r="D39" s="22">
        <f t="shared" si="1"/>
        <v>176</v>
      </c>
      <c r="E39" s="22">
        <f t="shared" si="2"/>
        <v>264</v>
      </c>
      <c r="F39" s="22">
        <f t="shared" si="3"/>
        <v>226</v>
      </c>
      <c r="G39" s="22">
        <f t="shared" si="4"/>
        <v>7744</v>
      </c>
      <c r="H39" s="32">
        <f t="shared" si="5"/>
        <v>1.1363636363636364E-2</v>
      </c>
      <c r="I39" s="32">
        <f t="shared" si="6"/>
        <v>9.3808315196468595</v>
      </c>
    </row>
    <row r="40" spans="1:9" x14ac:dyDescent="0.25">
      <c r="A40" s="22" t="s">
        <v>87</v>
      </c>
      <c r="B40" s="22">
        <v>70</v>
      </c>
      <c r="C40" s="22">
        <f t="shared" si="0"/>
        <v>70</v>
      </c>
      <c r="D40" s="22">
        <f t="shared" si="1"/>
        <v>140</v>
      </c>
      <c r="E40" s="22">
        <f t="shared" si="2"/>
        <v>210</v>
      </c>
      <c r="F40" s="22">
        <f t="shared" si="3"/>
        <v>190</v>
      </c>
      <c r="G40" s="22">
        <f t="shared" si="4"/>
        <v>4900</v>
      </c>
      <c r="H40" s="32">
        <f t="shared" si="5"/>
        <v>1.4285714285714285E-2</v>
      </c>
      <c r="I40" s="32">
        <f t="shared" si="6"/>
        <v>8.3666002653407556</v>
      </c>
    </row>
    <row r="41" spans="1:9" x14ac:dyDescent="0.25">
      <c r="A41" s="22" t="s">
        <v>88</v>
      </c>
      <c r="B41" s="22">
        <v>46</v>
      </c>
      <c r="C41" s="22">
        <f t="shared" si="0"/>
        <v>46</v>
      </c>
      <c r="D41" s="22">
        <f t="shared" si="1"/>
        <v>92</v>
      </c>
      <c r="E41" s="22">
        <f t="shared" si="2"/>
        <v>138</v>
      </c>
      <c r="F41" s="22">
        <f t="shared" si="3"/>
        <v>142</v>
      </c>
      <c r="G41" s="22">
        <f t="shared" si="4"/>
        <v>2116</v>
      </c>
      <c r="H41" s="32">
        <f t="shared" si="5"/>
        <v>2.1739130434782608E-2</v>
      </c>
      <c r="I41" s="32">
        <f t="shared" si="6"/>
        <v>6.7823299831252681</v>
      </c>
    </row>
    <row r="42" spans="1:9" x14ac:dyDescent="0.25">
      <c r="A42" s="22" t="s">
        <v>89</v>
      </c>
      <c r="B42" s="22">
        <v>42</v>
      </c>
      <c r="C42" s="22">
        <f t="shared" si="0"/>
        <v>42</v>
      </c>
      <c r="D42" s="22">
        <f t="shared" si="1"/>
        <v>84</v>
      </c>
      <c r="E42" s="22">
        <f t="shared" si="2"/>
        <v>126</v>
      </c>
      <c r="F42" s="22">
        <f t="shared" si="3"/>
        <v>134</v>
      </c>
      <c r="G42" s="22">
        <f t="shared" si="4"/>
        <v>1764</v>
      </c>
      <c r="H42" s="32">
        <f t="shared" si="5"/>
        <v>2.3809523809523808E-2</v>
      </c>
      <c r="I42" s="32">
        <f t="shared" si="6"/>
        <v>6.4807406984078604</v>
      </c>
    </row>
    <row r="43" spans="1:9" x14ac:dyDescent="0.25">
      <c r="A43" s="22" t="s">
        <v>90</v>
      </c>
      <c r="B43" s="22">
        <v>85</v>
      </c>
      <c r="C43" s="22">
        <f t="shared" si="0"/>
        <v>85</v>
      </c>
      <c r="D43" s="22">
        <f t="shared" si="1"/>
        <v>170</v>
      </c>
      <c r="E43" s="22">
        <f t="shared" si="2"/>
        <v>255</v>
      </c>
      <c r="F43" s="22">
        <f t="shared" si="3"/>
        <v>220</v>
      </c>
      <c r="G43" s="22">
        <f t="shared" si="4"/>
        <v>7225</v>
      </c>
      <c r="H43" s="32">
        <f t="shared" si="5"/>
        <v>1.1764705882352941E-2</v>
      </c>
      <c r="I43" s="32">
        <f t="shared" si="6"/>
        <v>9.2195444572928871</v>
      </c>
    </row>
    <row r="44" spans="1:9" x14ac:dyDescent="0.25">
      <c r="A44" s="22" t="s">
        <v>91</v>
      </c>
      <c r="B44" s="22">
        <v>2</v>
      </c>
      <c r="C44" s="22">
        <f t="shared" si="0"/>
        <v>2</v>
      </c>
      <c r="D44" s="22">
        <f t="shared" si="1"/>
        <v>4</v>
      </c>
      <c r="E44" s="22">
        <f t="shared" si="2"/>
        <v>6</v>
      </c>
      <c r="F44" s="22">
        <f t="shared" si="3"/>
        <v>54</v>
      </c>
      <c r="G44" s="22">
        <f t="shared" si="4"/>
        <v>4</v>
      </c>
      <c r="H44" s="32">
        <f t="shared" si="5"/>
        <v>0.5</v>
      </c>
      <c r="I44" s="32">
        <f t="shared" si="6"/>
        <v>1.4142135623730951</v>
      </c>
    </row>
    <row r="45" spans="1:9" x14ac:dyDescent="0.25">
      <c r="A45" s="22" t="s">
        <v>92</v>
      </c>
      <c r="B45" s="22">
        <v>64</v>
      </c>
      <c r="C45" s="22">
        <f t="shared" si="0"/>
        <v>64</v>
      </c>
      <c r="D45" s="22">
        <f t="shared" si="1"/>
        <v>128</v>
      </c>
      <c r="E45" s="22">
        <f t="shared" si="2"/>
        <v>192</v>
      </c>
      <c r="F45" s="22">
        <f t="shared" si="3"/>
        <v>178</v>
      </c>
      <c r="G45" s="22">
        <f t="shared" si="4"/>
        <v>4096</v>
      </c>
      <c r="H45" s="32">
        <f t="shared" si="5"/>
        <v>1.5625E-2</v>
      </c>
      <c r="I45" s="32">
        <f t="shared" si="6"/>
        <v>8</v>
      </c>
    </row>
    <row r="46" spans="1:9" x14ac:dyDescent="0.25">
      <c r="A46" s="22" t="s">
        <v>93</v>
      </c>
      <c r="B46" s="22">
        <v>1</v>
      </c>
      <c r="C46" s="22">
        <f t="shared" si="0"/>
        <v>1</v>
      </c>
      <c r="D46" s="22">
        <f t="shared" si="1"/>
        <v>2</v>
      </c>
      <c r="E46" s="22">
        <f t="shared" si="2"/>
        <v>3</v>
      </c>
      <c r="F46" s="22">
        <f t="shared" si="3"/>
        <v>52</v>
      </c>
      <c r="G46" s="22">
        <f t="shared" si="4"/>
        <v>1</v>
      </c>
      <c r="H46" s="32">
        <f t="shared" si="5"/>
        <v>1</v>
      </c>
      <c r="I46" s="32">
        <f t="shared" si="6"/>
        <v>1</v>
      </c>
    </row>
    <row r="47" spans="1:9" x14ac:dyDescent="0.25">
      <c r="A47" s="22" t="s">
        <v>94</v>
      </c>
      <c r="B47" s="22">
        <v>47</v>
      </c>
      <c r="C47" s="22">
        <f t="shared" si="0"/>
        <v>47</v>
      </c>
      <c r="D47" s="22">
        <f t="shared" si="1"/>
        <v>94</v>
      </c>
      <c r="E47" s="22">
        <f t="shared" si="2"/>
        <v>141</v>
      </c>
      <c r="F47" s="22">
        <f t="shared" si="3"/>
        <v>144</v>
      </c>
      <c r="G47" s="22">
        <f t="shared" si="4"/>
        <v>2209</v>
      </c>
      <c r="H47" s="32">
        <f t="shared" si="5"/>
        <v>2.1276595744680851E-2</v>
      </c>
      <c r="I47" s="32">
        <f t="shared" si="6"/>
        <v>6.8556546004010439</v>
      </c>
    </row>
    <row r="48" spans="1:9" x14ac:dyDescent="0.25">
      <c r="A48" s="22" t="s">
        <v>95</v>
      </c>
      <c r="B48" s="22">
        <v>3</v>
      </c>
      <c r="C48" s="22">
        <f t="shared" si="0"/>
        <v>3</v>
      </c>
      <c r="D48" s="22">
        <f t="shared" si="1"/>
        <v>6</v>
      </c>
      <c r="E48" s="22">
        <f t="shared" si="2"/>
        <v>9</v>
      </c>
      <c r="F48" s="22">
        <f t="shared" si="3"/>
        <v>56</v>
      </c>
      <c r="G48" s="22">
        <f t="shared" si="4"/>
        <v>9</v>
      </c>
      <c r="H48" s="32">
        <f t="shared" si="5"/>
        <v>0.33333333333333331</v>
      </c>
      <c r="I48" s="32">
        <f t="shared" si="6"/>
        <v>1.7320508075688772</v>
      </c>
    </row>
    <row r="49" spans="1:9" x14ac:dyDescent="0.25">
      <c r="A49" s="22" t="s">
        <v>96</v>
      </c>
      <c r="B49" s="22">
        <v>66</v>
      </c>
      <c r="C49" s="22">
        <f t="shared" si="0"/>
        <v>66</v>
      </c>
      <c r="D49" s="22">
        <f t="shared" si="1"/>
        <v>132</v>
      </c>
      <c r="E49" s="22">
        <f t="shared" si="2"/>
        <v>198</v>
      </c>
      <c r="F49" s="22">
        <f t="shared" si="3"/>
        <v>182</v>
      </c>
      <c r="G49" s="22">
        <f t="shared" si="4"/>
        <v>4356</v>
      </c>
      <c r="H49" s="32">
        <f t="shared" si="5"/>
        <v>1.5151515151515152E-2</v>
      </c>
      <c r="I49" s="32">
        <f t="shared" si="6"/>
        <v>8.1240384046359608</v>
      </c>
    </row>
  </sheetData>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01"/>
  <sheetViews>
    <sheetView zoomScaleNormal="100" workbookViewId="0">
      <selection activeCell="M19" sqref="M19"/>
    </sheetView>
  </sheetViews>
  <sheetFormatPr baseColWidth="10" defaultColWidth="9" defaultRowHeight="12.6" x14ac:dyDescent="0.25"/>
  <cols>
    <col min="1" max="1" width="13.88671875" customWidth="1"/>
    <col min="2" max="2" width="22.88671875" customWidth="1"/>
    <col min="3" max="3" width="13.5546875" customWidth="1"/>
    <col min="4" max="4" width="14.109375" customWidth="1"/>
    <col min="5" max="5" width="13.88671875" customWidth="1"/>
    <col min="6" max="6" width="13.5546875" customWidth="1"/>
    <col min="8" max="8" width="16.77734375" style="34" customWidth="1"/>
    <col min="9" max="9" width="20.6640625" style="34" customWidth="1"/>
    <col min="11" max="11" width="18.5546875" style="34" customWidth="1"/>
    <col min="12" max="12" width="16.77734375" customWidth="1"/>
    <col min="13" max="13" width="22.6640625" customWidth="1"/>
    <col min="15" max="15" width="10" customWidth="1"/>
    <col min="17" max="17" width="11.88671875" customWidth="1"/>
    <col min="18" max="18" width="11.77734375" customWidth="1"/>
  </cols>
  <sheetData>
    <row r="1" spans="1:18" ht="17.399999999999999" x14ac:dyDescent="0.3">
      <c r="A1" s="4" t="s">
        <v>97</v>
      </c>
    </row>
    <row r="2" spans="1:18" ht="15.6" x14ac:dyDescent="0.3">
      <c r="A2" s="28" t="s">
        <v>98</v>
      </c>
    </row>
    <row r="4" spans="1:18" x14ac:dyDescent="0.25">
      <c r="A4" t="s">
        <v>99</v>
      </c>
      <c r="B4" t="s">
        <v>100</v>
      </c>
    </row>
    <row r="5" spans="1:18" x14ac:dyDescent="0.25">
      <c r="A5" t="s">
        <v>101</v>
      </c>
      <c r="B5" t="s">
        <v>102</v>
      </c>
    </row>
    <row r="6" spans="1:18" x14ac:dyDescent="0.25">
      <c r="A6" t="s">
        <v>103</v>
      </c>
      <c r="B6" t="s">
        <v>104</v>
      </c>
    </row>
    <row r="7" spans="1:18" x14ac:dyDescent="0.25">
      <c r="A7" s="29" t="s">
        <v>105</v>
      </c>
    </row>
    <row r="9" spans="1:18" x14ac:dyDescent="0.25">
      <c r="H9" s="56" t="s">
        <v>543</v>
      </c>
      <c r="I9" s="56"/>
    </row>
    <row r="10" spans="1:18" x14ac:dyDescent="0.25">
      <c r="A10" s="29" t="s">
        <v>99</v>
      </c>
      <c r="B10" s="29" t="s">
        <v>106</v>
      </c>
      <c r="C10" s="29" t="s">
        <v>101</v>
      </c>
      <c r="D10" s="29" t="s">
        <v>103</v>
      </c>
      <c r="H10" s="35" t="s">
        <v>546</v>
      </c>
      <c r="I10" s="35" t="s">
        <v>547</v>
      </c>
      <c r="K10" s="37" t="s">
        <v>544</v>
      </c>
      <c r="M10" s="33" t="s">
        <v>545</v>
      </c>
      <c r="O10" s="57" t="s">
        <v>549</v>
      </c>
      <c r="P10" s="57"/>
      <c r="Q10" s="57"/>
      <c r="R10" s="57"/>
    </row>
    <row r="11" spans="1:18" x14ac:dyDescent="0.25">
      <c r="A11" t="s">
        <v>107</v>
      </c>
      <c r="B11" t="s">
        <v>108</v>
      </c>
      <c r="C11" s="30">
        <v>21223.554931236798</v>
      </c>
      <c r="D11" s="30">
        <v>505.17652371630498</v>
      </c>
      <c r="H11" s="36">
        <f>C11-AVERAGE(C$11:C$201)</f>
        <v>-31216.263254631685</v>
      </c>
      <c r="I11" s="36">
        <f>D11-AVERAGE(D$11:D$201)</f>
        <v>-2049.1865209812536</v>
      </c>
      <c r="K11" s="38">
        <f>H11*I11</f>
        <v>63967945.896793649</v>
      </c>
      <c r="M11" s="33">
        <f>AVERAGE(K11:K201)</f>
        <v>1236354397.1290107</v>
      </c>
      <c r="O11" s="58">
        <f>M11/(_xlfn.STDEV.P(C11:C201)*_xlfn.STDEV.P(D11:D201))</f>
        <v>0.86456343201979324</v>
      </c>
      <c r="P11" s="58"/>
      <c r="Q11" s="58"/>
      <c r="R11" s="58"/>
    </row>
    <row r="12" spans="1:18" x14ac:dyDescent="0.25">
      <c r="A12" t="s">
        <v>109</v>
      </c>
      <c r="B12" t="s">
        <v>110</v>
      </c>
      <c r="C12" s="30">
        <v>12756.0022394323</v>
      </c>
      <c r="D12" s="30">
        <v>910.43033304833898</v>
      </c>
      <c r="H12" s="36">
        <f t="shared" ref="H12:H75" si="0">C12-AVERAGE(C$11:C$201)</f>
        <v>-39683.815946436182</v>
      </c>
      <c r="I12" s="36">
        <f t="shared" ref="I12:I75" si="1">D12-AVERAGE(D$11:D$201)</f>
        <v>-1643.9327116492195</v>
      </c>
      <c r="K12" s="38">
        <f t="shared" ref="K12:K75" si="2">H12*I12</f>
        <v>65237523.157413371</v>
      </c>
    </row>
    <row r="13" spans="1:18" x14ac:dyDescent="0.25">
      <c r="A13" t="s">
        <v>111</v>
      </c>
      <c r="B13" t="s">
        <v>112</v>
      </c>
      <c r="C13" s="30">
        <v>4688.5100336567903</v>
      </c>
      <c r="D13" s="30">
        <v>386.75371667154099</v>
      </c>
      <c r="H13" s="36">
        <f t="shared" si="0"/>
        <v>-47751.308152211692</v>
      </c>
      <c r="I13" s="36">
        <f t="shared" si="1"/>
        <v>-2167.6093280260175</v>
      </c>
      <c r="K13" s="38">
        <f t="shared" si="2"/>
        <v>103506180.97617887</v>
      </c>
      <c r="L13" t="s">
        <v>550</v>
      </c>
      <c r="M13" s="39">
        <f>_xlfn.COVARIANCE.P(C11:C201,D11:D201)</f>
        <v>1236354397.1290104</v>
      </c>
    </row>
    <row r="14" spans="1:18" x14ac:dyDescent="0.25">
      <c r="A14" t="s">
        <v>113</v>
      </c>
      <c r="B14" t="s">
        <v>114</v>
      </c>
      <c r="C14" s="30">
        <v>227.35372064325699</v>
      </c>
      <c r="D14" s="30">
        <v>14.6737928461301</v>
      </c>
      <c r="H14" s="36">
        <f t="shared" si="0"/>
        <v>-52212.464465225225</v>
      </c>
      <c r="I14" s="36">
        <f t="shared" si="1"/>
        <v>-2539.6892518514283</v>
      </c>
      <c r="K14" s="38">
        <f t="shared" si="2"/>
        <v>132603434.81500714</v>
      </c>
    </row>
    <row r="15" spans="1:18" x14ac:dyDescent="0.25">
      <c r="A15" t="s">
        <v>115</v>
      </c>
      <c r="B15" t="s">
        <v>116</v>
      </c>
      <c r="C15" s="30">
        <v>5458.0944281426</v>
      </c>
      <c r="D15" s="30">
        <v>126.674101015093</v>
      </c>
      <c r="H15" s="36">
        <f t="shared" si="0"/>
        <v>-46981.723757725886</v>
      </c>
      <c r="I15" s="36">
        <f t="shared" si="1"/>
        <v>-2427.6889436824654</v>
      </c>
      <c r="K15" s="38">
        <f t="shared" si="2"/>
        <v>114057011.32177494</v>
      </c>
    </row>
    <row r="16" spans="1:18" x14ac:dyDescent="0.25">
      <c r="A16" t="s">
        <v>117</v>
      </c>
      <c r="B16" t="s">
        <v>118</v>
      </c>
      <c r="C16" s="30">
        <v>84669.003902997807</v>
      </c>
      <c r="D16" s="30">
        <v>6372.1748897157304</v>
      </c>
      <c r="H16" s="36">
        <f t="shared" si="0"/>
        <v>32229.185717129323</v>
      </c>
      <c r="I16" s="36">
        <f t="shared" si="1"/>
        <v>3817.8118450181719</v>
      </c>
      <c r="K16" s="38">
        <f t="shared" si="2"/>
        <v>123044966.98614681</v>
      </c>
    </row>
    <row r="17" spans="1:11" x14ac:dyDescent="0.25">
      <c r="A17" t="s">
        <v>119</v>
      </c>
      <c r="B17" t="s">
        <v>120</v>
      </c>
      <c r="C17" s="30">
        <v>5827.5125193090998</v>
      </c>
      <c r="D17" s="30">
        <v>284.810310479755</v>
      </c>
      <c r="H17" s="36">
        <f t="shared" si="0"/>
        <v>-46612.305666559383</v>
      </c>
      <c r="I17" s="36">
        <f t="shared" si="1"/>
        <v>-2269.5527342178034</v>
      </c>
      <c r="K17" s="38">
        <f t="shared" si="2"/>
        <v>105789085.77373585</v>
      </c>
    </row>
    <row r="18" spans="1:11" x14ac:dyDescent="0.25">
      <c r="A18" t="s">
        <v>121</v>
      </c>
      <c r="B18" t="s">
        <v>122</v>
      </c>
      <c r="C18" s="30">
        <v>137.32379831447301</v>
      </c>
      <c r="D18" s="30">
        <v>30.9823512810332</v>
      </c>
      <c r="H18" s="36">
        <f t="shared" si="0"/>
        <v>-52302.494387554012</v>
      </c>
      <c r="I18" s="36">
        <f t="shared" si="1"/>
        <v>-2523.3806934165254</v>
      </c>
      <c r="K18" s="38">
        <f t="shared" si="2"/>
        <v>131979104.55507997</v>
      </c>
    </row>
    <row r="19" spans="1:11" x14ac:dyDescent="0.25">
      <c r="A19" t="s">
        <v>123</v>
      </c>
      <c r="B19" t="s">
        <v>124</v>
      </c>
      <c r="C19" s="30">
        <v>52826.178880462801</v>
      </c>
      <c r="D19" s="30">
        <v>4539.2850214738401</v>
      </c>
      <c r="H19" s="36">
        <f t="shared" si="0"/>
        <v>386.36069459431747</v>
      </c>
      <c r="I19" s="36">
        <f t="shared" si="1"/>
        <v>1984.9219767762816</v>
      </c>
      <c r="K19" s="38">
        <f t="shared" si="2"/>
        <v>766895.8336628098</v>
      </c>
    </row>
    <row r="20" spans="1:11" x14ac:dyDescent="0.25">
      <c r="A20" t="s">
        <v>125</v>
      </c>
      <c r="B20" t="s">
        <v>126</v>
      </c>
      <c r="C20" s="30">
        <v>21920.3933478371</v>
      </c>
      <c r="D20" s="30">
        <v>1693.07495840925</v>
      </c>
      <c r="H20" s="36">
        <f t="shared" si="0"/>
        <v>-30519.424838031384</v>
      </c>
      <c r="I20" s="36">
        <f t="shared" si="1"/>
        <v>-861.28808628830848</v>
      </c>
      <c r="K20" s="38">
        <f t="shared" si="2"/>
        <v>26286017.013367921</v>
      </c>
    </row>
    <row r="21" spans="1:11" x14ac:dyDescent="0.25">
      <c r="A21" t="s">
        <v>127</v>
      </c>
      <c r="B21" t="s">
        <v>128</v>
      </c>
      <c r="C21" s="30">
        <v>11895.287049430401</v>
      </c>
      <c r="D21" s="30">
        <v>405.27534259762598</v>
      </c>
      <c r="H21" s="36">
        <f t="shared" si="0"/>
        <v>-40544.531136438083</v>
      </c>
      <c r="I21" s="36">
        <f t="shared" si="1"/>
        <v>-2149.0877020999324</v>
      </c>
      <c r="K21" s="38">
        <f t="shared" si="2"/>
        <v>87133753.252726883</v>
      </c>
    </row>
    <row r="22" spans="1:11" x14ac:dyDescent="0.25">
      <c r="A22" t="s">
        <v>129</v>
      </c>
      <c r="B22" t="s">
        <v>130</v>
      </c>
      <c r="C22" s="30">
        <v>5264.7462096997797</v>
      </c>
      <c r="D22" s="30">
        <v>422.65744934338898</v>
      </c>
      <c r="H22" s="36">
        <f t="shared" si="0"/>
        <v>-47175.071976168707</v>
      </c>
      <c r="I22" s="36">
        <f t="shared" si="1"/>
        <v>-2131.7055953541694</v>
      </c>
      <c r="K22" s="38">
        <f t="shared" si="2"/>
        <v>100563364.89283451</v>
      </c>
    </row>
    <row r="23" spans="1:11" x14ac:dyDescent="0.25">
      <c r="A23" t="s">
        <v>131</v>
      </c>
      <c r="B23" t="s">
        <v>132</v>
      </c>
      <c r="C23" s="30">
        <v>33502.707543509503</v>
      </c>
      <c r="D23" s="30">
        <v>2532.7298221246301</v>
      </c>
      <c r="H23" s="36">
        <f t="shared" si="0"/>
        <v>-18937.110642358981</v>
      </c>
      <c r="I23" s="36">
        <f t="shared" si="1"/>
        <v>-21.633222572928389</v>
      </c>
      <c r="K23" s="38">
        <f t="shared" si="2"/>
        <v>409670.7294143227</v>
      </c>
    </row>
    <row r="24" spans="1:11" x14ac:dyDescent="0.25">
      <c r="A24" t="s">
        <v>133</v>
      </c>
      <c r="B24" t="s">
        <v>134</v>
      </c>
      <c r="C24" s="30">
        <v>5230.7376415282097</v>
      </c>
      <c r="D24" s="30">
        <v>501.45681173603498</v>
      </c>
      <c r="H24" s="36">
        <f t="shared" si="0"/>
        <v>-47209.080544340271</v>
      </c>
      <c r="I24" s="36">
        <f t="shared" si="1"/>
        <v>-2052.9062329615235</v>
      </c>
      <c r="K24" s="38">
        <f t="shared" si="2"/>
        <v>96915815.701858744</v>
      </c>
    </row>
    <row r="25" spans="1:11" x14ac:dyDescent="0.25">
      <c r="A25" t="s">
        <v>135</v>
      </c>
      <c r="B25" t="s">
        <v>136</v>
      </c>
      <c r="C25" s="30">
        <v>10097.7648200812</v>
      </c>
      <c r="D25" s="30">
        <v>870.36589778621601</v>
      </c>
      <c r="H25" s="36">
        <f t="shared" si="0"/>
        <v>-42342.053365787287</v>
      </c>
      <c r="I25" s="36">
        <f t="shared" si="1"/>
        <v>-1683.9971469113425</v>
      </c>
      <c r="K25" s="38">
        <f t="shared" si="2"/>
        <v>71303897.062353596</v>
      </c>
    </row>
    <row r="26" spans="1:11" x14ac:dyDescent="0.25">
      <c r="A26" t="s">
        <v>137</v>
      </c>
      <c r="B26" t="s">
        <v>138</v>
      </c>
      <c r="C26" s="30">
        <v>105848.175349777</v>
      </c>
      <c r="D26" s="30">
        <v>4430.4182676628698</v>
      </c>
      <c r="H26" s="36">
        <f t="shared" si="0"/>
        <v>53408.357163908513</v>
      </c>
      <c r="I26" s="36">
        <f t="shared" si="1"/>
        <v>1876.0552229653113</v>
      </c>
      <c r="K26" s="38">
        <f t="shared" si="2"/>
        <v>100197027.40734737</v>
      </c>
    </row>
    <row r="27" spans="1:11" x14ac:dyDescent="0.25">
      <c r="A27" t="s">
        <v>139</v>
      </c>
      <c r="B27" t="s">
        <v>140</v>
      </c>
      <c r="C27" s="30">
        <v>21974.080056639301</v>
      </c>
      <c r="D27" s="30">
        <v>1332.0178101301501</v>
      </c>
      <c r="H27" s="36">
        <f t="shared" si="0"/>
        <v>-30465.738129229183</v>
      </c>
      <c r="I27" s="36">
        <f t="shared" si="1"/>
        <v>-1222.3452345674084</v>
      </c>
      <c r="K27" s="38">
        <f t="shared" si="2"/>
        <v>37239649.819841884</v>
      </c>
    </row>
    <row r="28" spans="1:11" x14ac:dyDescent="0.25">
      <c r="A28" t="s">
        <v>141</v>
      </c>
      <c r="B28" t="s">
        <v>142</v>
      </c>
      <c r="C28" s="30">
        <v>811.99387042185003</v>
      </c>
      <c r="D28" s="30">
        <v>36.309474340325004</v>
      </c>
      <c r="H28" s="36">
        <f t="shared" si="0"/>
        <v>-51627.824315446633</v>
      </c>
      <c r="I28" s="36">
        <f t="shared" si="1"/>
        <v>-2518.0535703572336</v>
      </c>
      <c r="K28" s="38">
        <f t="shared" si="2"/>
        <v>130001627.34728639</v>
      </c>
    </row>
    <row r="29" spans="1:11" x14ac:dyDescent="0.25">
      <c r="A29" t="s">
        <v>143</v>
      </c>
      <c r="B29" t="s">
        <v>144</v>
      </c>
      <c r="C29" s="30">
        <v>576.97280519833396</v>
      </c>
      <c r="D29" s="30">
        <v>99.111681179182995</v>
      </c>
      <c r="H29" s="36">
        <f t="shared" si="0"/>
        <v>-51862.845380670151</v>
      </c>
      <c r="I29" s="36">
        <f t="shared" si="1"/>
        <v>-2455.2513635183755</v>
      </c>
      <c r="K29" s="38">
        <f t="shared" si="2"/>
        <v>127336321.83683307</v>
      </c>
    </row>
    <row r="30" spans="1:11" x14ac:dyDescent="0.25">
      <c r="A30" t="s">
        <v>145</v>
      </c>
      <c r="B30" t="s">
        <v>146</v>
      </c>
      <c r="C30" s="30">
        <v>9460.1407673103804</v>
      </c>
      <c r="D30" s="30">
        <v>463.99604866476898</v>
      </c>
      <c r="H30" s="36">
        <f t="shared" si="0"/>
        <v>-42979.677418558102</v>
      </c>
      <c r="I30" s="36">
        <f t="shared" si="1"/>
        <v>-2090.3669960327898</v>
      </c>
      <c r="K30" s="38">
        <f t="shared" si="2"/>
        <v>89843299.175889626</v>
      </c>
    </row>
    <row r="31" spans="1:11" x14ac:dyDescent="0.25">
      <c r="A31" t="s">
        <v>147</v>
      </c>
      <c r="B31" t="s">
        <v>148</v>
      </c>
      <c r="C31" s="30">
        <v>19614.034606236</v>
      </c>
      <c r="D31" s="30">
        <v>1042.04408231774</v>
      </c>
      <c r="H31" s="36">
        <f t="shared" si="0"/>
        <v>-32825.78357963248</v>
      </c>
      <c r="I31" s="36">
        <f t="shared" si="1"/>
        <v>-1512.3189623798185</v>
      </c>
      <c r="K31" s="38">
        <f t="shared" si="2"/>
        <v>49643054.962454274</v>
      </c>
    </row>
    <row r="32" spans="1:11" x14ac:dyDescent="0.25">
      <c r="A32" t="s">
        <v>149</v>
      </c>
      <c r="B32" t="s">
        <v>150</v>
      </c>
      <c r="C32" s="30">
        <v>298.462478511065</v>
      </c>
      <c r="D32" s="30">
        <v>45.334341037760801</v>
      </c>
      <c r="H32" s="36">
        <f t="shared" si="0"/>
        <v>-52141.355707357419</v>
      </c>
      <c r="I32" s="36">
        <f t="shared" si="1"/>
        <v>-2509.0287036597979</v>
      </c>
      <c r="K32" s="38">
        <f t="shared" si="2"/>
        <v>130824158.11749539</v>
      </c>
    </row>
    <row r="33" spans="1:11" x14ac:dyDescent="0.25">
      <c r="A33" t="s">
        <v>151</v>
      </c>
      <c r="B33" t="s">
        <v>152</v>
      </c>
      <c r="C33" s="30">
        <v>14001.154012700399</v>
      </c>
      <c r="D33" s="30">
        <v>1296.8422350015401</v>
      </c>
      <c r="H33" s="36">
        <f t="shared" si="0"/>
        <v>-38438.664173168087</v>
      </c>
      <c r="I33" s="36">
        <f t="shared" si="1"/>
        <v>-1257.5208096960184</v>
      </c>
      <c r="K33" s="38">
        <f t="shared" si="2"/>
        <v>48337420.094675668</v>
      </c>
    </row>
    <row r="34" spans="1:11" x14ac:dyDescent="0.25">
      <c r="A34" t="s">
        <v>153</v>
      </c>
      <c r="B34" t="s">
        <v>154</v>
      </c>
      <c r="C34" s="30">
        <v>264602.60802118102</v>
      </c>
      <c r="D34" s="30">
        <v>23340.873493632102</v>
      </c>
      <c r="H34" s="36">
        <f t="shared" si="0"/>
        <v>212162.78983531252</v>
      </c>
      <c r="I34" s="36">
        <f t="shared" si="1"/>
        <v>20786.510448934543</v>
      </c>
      <c r="K34" s="38">
        <f t="shared" si="2"/>
        <v>4410124047.7868271</v>
      </c>
    </row>
    <row r="35" spans="1:11" x14ac:dyDescent="0.25">
      <c r="A35" t="s">
        <v>155</v>
      </c>
      <c r="B35" t="s">
        <v>156</v>
      </c>
      <c r="C35" s="30">
        <v>822.32159718917603</v>
      </c>
      <c r="D35" s="30">
        <v>174.687599588854</v>
      </c>
      <c r="H35" s="36">
        <f t="shared" si="0"/>
        <v>-51617.496588679307</v>
      </c>
      <c r="I35" s="36">
        <f t="shared" si="1"/>
        <v>-2379.6754451087045</v>
      </c>
      <c r="K35" s="38">
        <f t="shared" si="2"/>
        <v>122832889.17006247</v>
      </c>
    </row>
    <row r="36" spans="1:11" x14ac:dyDescent="0.25">
      <c r="A36" t="s">
        <v>157</v>
      </c>
      <c r="B36" t="s">
        <v>158</v>
      </c>
      <c r="C36" s="30">
        <v>523.91798779353599</v>
      </c>
      <c r="D36" s="30">
        <v>13.336508862101599</v>
      </c>
      <c r="H36" s="36">
        <f t="shared" si="0"/>
        <v>-51915.900198074945</v>
      </c>
      <c r="I36" s="36">
        <f t="shared" si="1"/>
        <v>-2541.0265358354568</v>
      </c>
      <c r="K36" s="38">
        <f t="shared" si="2"/>
        <v>131919680.03509368</v>
      </c>
    </row>
    <row r="37" spans="1:11" x14ac:dyDescent="0.25">
      <c r="A37" t="s">
        <v>159</v>
      </c>
      <c r="B37" t="s">
        <v>160</v>
      </c>
      <c r="C37" s="30">
        <v>472.275295798473</v>
      </c>
      <c r="D37" s="30">
        <v>23.205078841098601</v>
      </c>
      <c r="H37" s="36">
        <f t="shared" si="0"/>
        <v>-51967.542890070014</v>
      </c>
      <c r="I37" s="36">
        <f t="shared" si="1"/>
        <v>-2531.1579658564601</v>
      </c>
      <c r="K37" s="38">
        <f t="shared" si="2"/>
        <v>131538060.15218796</v>
      </c>
    </row>
    <row r="38" spans="1:11" x14ac:dyDescent="0.25">
      <c r="A38" t="s">
        <v>161</v>
      </c>
      <c r="B38" t="s">
        <v>162</v>
      </c>
      <c r="C38" s="30">
        <v>2067.5218055482701</v>
      </c>
      <c r="D38" s="30">
        <v>193.156267107453</v>
      </c>
      <c r="H38" s="36">
        <f t="shared" si="0"/>
        <v>-50372.296380320215</v>
      </c>
      <c r="I38" s="36">
        <f t="shared" si="1"/>
        <v>-2361.2067775901055</v>
      </c>
      <c r="K38" s="38">
        <f t="shared" si="2"/>
        <v>118939407.61598963</v>
      </c>
    </row>
    <row r="39" spans="1:11" x14ac:dyDescent="0.25">
      <c r="A39" t="s">
        <v>163</v>
      </c>
      <c r="B39" t="s">
        <v>164</v>
      </c>
      <c r="C39" s="30">
        <v>2652.4004140150801</v>
      </c>
      <c r="D39" s="30">
        <v>147.53043634543599</v>
      </c>
      <c r="H39" s="36">
        <f t="shared" si="0"/>
        <v>-49787.417771853405</v>
      </c>
      <c r="I39" s="36">
        <f t="shared" si="1"/>
        <v>-2406.8326083521224</v>
      </c>
      <c r="K39" s="38">
        <f t="shared" si="2"/>
        <v>119829980.57894674</v>
      </c>
    </row>
    <row r="40" spans="1:11" x14ac:dyDescent="0.25">
      <c r="A40" t="s">
        <v>165</v>
      </c>
      <c r="B40" t="s">
        <v>166</v>
      </c>
      <c r="C40" s="30">
        <v>91934.890905833105</v>
      </c>
      <c r="D40" s="30">
        <v>6523.06951032705</v>
      </c>
      <c r="H40" s="36">
        <f t="shared" si="0"/>
        <v>39495.072719964621</v>
      </c>
      <c r="I40" s="36">
        <f t="shared" si="1"/>
        <v>3968.7064656294915</v>
      </c>
      <c r="K40" s="38">
        <f t="shared" si="2"/>
        <v>156744350.46423054</v>
      </c>
    </row>
    <row r="41" spans="1:11" x14ac:dyDescent="0.25">
      <c r="A41" t="s">
        <v>167</v>
      </c>
      <c r="B41" t="s">
        <v>168</v>
      </c>
      <c r="C41" s="30">
        <v>19971.3431836091</v>
      </c>
      <c r="D41" s="30">
        <v>1912.2750785298699</v>
      </c>
      <c r="H41" s="36">
        <f t="shared" si="0"/>
        <v>-32468.475002259383</v>
      </c>
      <c r="I41" s="36">
        <f t="shared" si="1"/>
        <v>-642.08796616768859</v>
      </c>
      <c r="K41" s="38">
        <f t="shared" si="2"/>
        <v>20847617.078767166</v>
      </c>
    </row>
    <row r="42" spans="1:11" x14ac:dyDescent="0.25">
      <c r="A42" t="s">
        <v>169</v>
      </c>
      <c r="B42" t="s">
        <v>170</v>
      </c>
      <c r="C42" s="30">
        <v>31366.0768440301</v>
      </c>
      <c r="D42" s="30">
        <v>2888.3421546527002</v>
      </c>
      <c r="H42" s="36">
        <f t="shared" si="0"/>
        <v>-21073.741341838384</v>
      </c>
      <c r="I42" s="36">
        <f t="shared" si="1"/>
        <v>333.97910995514167</v>
      </c>
      <c r="K42" s="38">
        <f t="shared" si="2"/>
        <v>-7038189.3767720563</v>
      </c>
    </row>
    <row r="43" spans="1:11" x14ac:dyDescent="0.25">
      <c r="A43" t="s">
        <v>171</v>
      </c>
      <c r="B43" t="s">
        <v>172</v>
      </c>
      <c r="C43" s="30">
        <v>2711894.9792648698</v>
      </c>
      <c r="D43" s="30">
        <v>54390.875089943504</v>
      </c>
      <c r="H43" s="36">
        <f t="shared" si="0"/>
        <v>2659455.1610790011</v>
      </c>
      <c r="I43" s="36">
        <f t="shared" si="1"/>
        <v>51836.512045245945</v>
      </c>
      <c r="K43" s="38">
        <f t="shared" si="2"/>
        <v>137856879491.06314</v>
      </c>
    </row>
    <row r="44" spans="1:11" x14ac:dyDescent="0.25">
      <c r="A44" t="s">
        <v>173</v>
      </c>
      <c r="B44" t="s">
        <v>174</v>
      </c>
      <c r="C44" s="30">
        <v>11552.209012773499</v>
      </c>
      <c r="D44" s="30">
        <v>1099.90436693216</v>
      </c>
      <c r="H44" s="36">
        <f t="shared" si="0"/>
        <v>-40887.609173094985</v>
      </c>
      <c r="I44" s="36">
        <f t="shared" si="1"/>
        <v>-1454.4586777653985</v>
      </c>
      <c r="K44" s="38">
        <f t="shared" si="2"/>
        <v>59469337.974888109</v>
      </c>
    </row>
    <row r="45" spans="1:11" x14ac:dyDescent="0.25">
      <c r="A45" t="s">
        <v>175</v>
      </c>
      <c r="B45" t="s">
        <v>176</v>
      </c>
      <c r="C45" s="30">
        <v>14211.264528731501</v>
      </c>
      <c r="D45" s="30">
        <v>1378.96624912372</v>
      </c>
      <c r="H45" s="36">
        <f t="shared" si="0"/>
        <v>-38228.553657136981</v>
      </c>
      <c r="I45" s="36">
        <f t="shared" si="1"/>
        <v>-1175.3967955738385</v>
      </c>
      <c r="K45" s="38">
        <f t="shared" si="2"/>
        <v>44933719.468021356</v>
      </c>
    </row>
    <row r="46" spans="1:11" x14ac:dyDescent="0.25">
      <c r="A46" t="s">
        <v>177</v>
      </c>
      <c r="B46" t="s">
        <v>178</v>
      </c>
      <c r="C46" s="30">
        <v>36789.206365169499</v>
      </c>
      <c r="D46" s="30">
        <v>2573.5685227491699</v>
      </c>
      <c r="H46" s="36">
        <f t="shared" si="0"/>
        <v>-15650.611820698985</v>
      </c>
      <c r="I46" s="36">
        <f t="shared" si="1"/>
        <v>19.205478051611408</v>
      </c>
      <c r="K46" s="38">
        <f t="shared" si="2"/>
        <v>-300577.48181672441</v>
      </c>
    </row>
    <row r="47" spans="1:11" x14ac:dyDescent="0.25">
      <c r="A47" t="s">
        <v>179</v>
      </c>
      <c r="B47" t="s">
        <v>180</v>
      </c>
      <c r="C47" s="30">
        <v>3354.0906170102799</v>
      </c>
      <c r="D47" s="30">
        <v>249.25729526765301</v>
      </c>
      <c r="H47" s="36">
        <f t="shared" si="0"/>
        <v>-49085.727568858201</v>
      </c>
      <c r="I47" s="36">
        <f t="shared" si="1"/>
        <v>-2305.1057494299057</v>
      </c>
      <c r="K47" s="38">
        <f t="shared" si="2"/>
        <v>113147792.83392507</v>
      </c>
    </row>
    <row r="48" spans="1:11" x14ac:dyDescent="0.25">
      <c r="A48" t="s">
        <v>181</v>
      </c>
      <c r="B48" t="s">
        <v>182</v>
      </c>
      <c r="C48" s="30">
        <v>49041.062056724702</v>
      </c>
      <c r="D48" s="30">
        <v>4459.8895407192504</v>
      </c>
      <c r="H48" s="36">
        <f t="shared" si="0"/>
        <v>-3398.7561291437814</v>
      </c>
      <c r="I48" s="36">
        <f t="shared" si="1"/>
        <v>1905.5264960216919</v>
      </c>
      <c r="K48" s="38">
        <f t="shared" si="2"/>
        <v>-6476419.8575995984</v>
      </c>
    </row>
    <row r="49" spans="1:11" x14ac:dyDescent="0.25">
      <c r="A49" t="s">
        <v>183</v>
      </c>
      <c r="B49" t="s">
        <v>184</v>
      </c>
      <c r="C49" s="30">
        <v>543.10074216567205</v>
      </c>
      <c r="D49" s="30">
        <v>52.807487824087197</v>
      </c>
      <c r="H49" s="36">
        <f t="shared" si="0"/>
        <v>-51896.717443702815</v>
      </c>
      <c r="I49" s="36">
        <f t="shared" si="1"/>
        <v>-2501.5555568734712</v>
      </c>
      <c r="K49" s="38">
        <f t="shared" si="2"/>
        <v>129822521.90478718</v>
      </c>
    </row>
    <row r="50" spans="1:11" x14ac:dyDescent="0.25">
      <c r="A50" t="s">
        <v>185</v>
      </c>
      <c r="B50" t="s">
        <v>186</v>
      </c>
      <c r="C50" s="30">
        <v>715.06120134992796</v>
      </c>
      <c r="D50" s="30">
        <v>106.620824551841</v>
      </c>
      <c r="H50" s="36">
        <f t="shared" si="0"/>
        <v>-51724.756984518557</v>
      </c>
      <c r="I50" s="36">
        <f t="shared" si="1"/>
        <v>-2447.7422201457175</v>
      </c>
      <c r="K50" s="38">
        <f t="shared" si="2"/>
        <v>126608871.49778315</v>
      </c>
    </row>
    <row r="51" spans="1:11" x14ac:dyDescent="0.25">
      <c r="A51" t="s">
        <v>187</v>
      </c>
      <c r="B51" t="s">
        <v>188</v>
      </c>
      <c r="C51" s="30">
        <v>6002.0878066715304</v>
      </c>
      <c r="D51" s="30">
        <v>570.18360990437395</v>
      </c>
      <c r="H51" s="36">
        <f t="shared" si="0"/>
        <v>-46437.730379196953</v>
      </c>
      <c r="I51" s="36">
        <f t="shared" si="1"/>
        <v>-1984.1794347931846</v>
      </c>
      <c r="K51" s="38">
        <f t="shared" si="2"/>
        <v>92140789.616873309</v>
      </c>
    </row>
    <row r="52" spans="1:11" x14ac:dyDescent="0.25">
      <c r="A52" t="s">
        <v>189</v>
      </c>
      <c r="B52" t="s">
        <v>190</v>
      </c>
      <c r="C52" s="30">
        <v>27726.162570262499</v>
      </c>
      <c r="D52" s="30">
        <v>3396.7453691979499</v>
      </c>
      <c r="H52" s="36">
        <f t="shared" si="0"/>
        <v>-24713.655615605985</v>
      </c>
      <c r="I52" s="36">
        <f t="shared" si="1"/>
        <v>842.38232450039141</v>
      </c>
      <c r="K52" s="38">
        <f t="shared" si="2"/>
        <v>-20818346.664376322</v>
      </c>
    </row>
    <row r="53" spans="1:11" x14ac:dyDescent="0.25">
      <c r="A53" t="s">
        <v>191</v>
      </c>
      <c r="B53" t="s">
        <v>192</v>
      </c>
      <c r="C53" s="30">
        <v>2267.5515939662801</v>
      </c>
      <c r="D53" s="30">
        <v>186.33245510144201</v>
      </c>
      <c r="H53" s="36">
        <f t="shared" si="0"/>
        <v>-50172.266591902204</v>
      </c>
      <c r="I53" s="36">
        <f t="shared" si="1"/>
        <v>-2368.0305895961164</v>
      </c>
      <c r="K53" s="38">
        <f t="shared" si="2"/>
        <v>118809462.03899571</v>
      </c>
    </row>
    <row r="54" spans="1:11" x14ac:dyDescent="0.25">
      <c r="A54" t="s">
        <v>193</v>
      </c>
      <c r="B54" t="s">
        <v>194</v>
      </c>
      <c r="C54" s="30">
        <v>30472.286197695299</v>
      </c>
      <c r="D54" s="30">
        <v>1888.9079814701799</v>
      </c>
      <c r="H54" s="36">
        <f t="shared" si="0"/>
        <v>-21967.531988173185</v>
      </c>
      <c r="I54" s="36">
        <f t="shared" si="1"/>
        <v>-665.45506322737856</v>
      </c>
      <c r="K54" s="38">
        <f t="shared" si="2"/>
        <v>14618405.388139248</v>
      </c>
    </row>
    <row r="55" spans="1:11" x14ac:dyDescent="0.25">
      <c r="A55" t="s">
        <v>195</v>
      </c>
      <c r="B55" t="s">
        <v>196</v>
      </c>
      <c r="C55" s="30">
        <v>270525.455713187</v>
      </c>
      <c r="D55" s="30">
        <v>20146.0984868249</v>
      </c>
      <c r="H55" s="36">
        <f t="shared" si="0"/>
        <v>218085.6375273185</v>
      </c>
      <c r="I55" s="36">
        <f t="shared" si="1"/>
        <v>17591.735442127341</v>
      </c>
      <c r="K55" s="38">
        <f t="shared" si="2"/>
        <v>3836504839.1082654</v>
      </c>
    </row>
    <row r="56" spans="1:11" x14ac:dyDescent="0.25">
      <c r="A56" t="s">
        <v>197</v>
      </c>
      <c r="B56" t="s">
        <v>198</v>
      </c>
      <c r="C56" s="30">
        <v>747.77625057515797</v>
      </c>
      <c r="D56" s="30">
        <v>67.539026217961606</v>
      </c>
      <c r="H56" s="36">
        <f t="shared" si="0"/>
        <v>-51692.041935293324</v>
      </c>
      <c r="I56" s="36">
        <f t="shared" si="1"/>
        <v>-2486.8240184795968</v>
      </c>
      <c r="K56" s="38">
        <f t="shared" si="2"/>
        <v>128549011.44894198</v>
      </c>
    </row>
    <row r="57" spans="1:11" x14ac:dyDescent="0.25">
      <c r="A57" t="s">
        <v>199</v>
      </c>
      <c r="B57" t="s">
        <v>200</v>
      </c>
      <c r="C57" s="30">
        <v>180.97203272777</v>
      </c>
      <c r="D57" s="30">
        <v>50.385946478337999</v>
      </c>
      <c r="H57" s="36">
        <f t="shared" si="0"/>
        <v>-52258.846153140716</v>
      </c>
      <c r="I57" s="36">
        <f t="shared" si="1"/>
        <v>-2503.9770982192204</v>
      </c>
      <c r="K57" s="38">
        <f t="shared" si="2"/>
        <v>130854953.94682595</v>
      </c>
    </row>
    <row r="58" spans="1:11" x14ac:dyDescent="0.25">
      <c r="A58" t="s">
        <v>201</v>
      </c>
      <c r="B58" t="s">
        <v>202</v>
      </c>
      <c r="C58" s="30">
        <v>18316.979979182601</v>
      </c>
      <c r="D58" s="30">
        <v>1707.82133803648</v>
      </c>
      <c r="H58" s="36">
        <f t="shared" si="0"/>
        <v>-34122.838206685883</v>
      </c>
      <c r="I58" s="36">
        <f t="shared" si="1"/>
        <v>-846.54170666107848</v>
      </c>
      <c r="K58" s="38">
        <f t="shared" si="2"/>
        <v>28886405.691607721</v>
      </c>
    </row>
    <row r="59" spans="1:11" x14ac:dyDescent="0.25">
      <c r="A59" t="s">
        <v>203</v>
      </c>
      <c r="B59" t="s">
        <v>204</v>
      </c>
      <c r="C59" s="30">
        <v>10769.5359839045</v>
      </c>
      <c r="D59" s="30">
        <v>1686.5644130042299</v>
      </c>
      <c r="H59" s="36">
        <f t="shared" si="0"/>
        <v>-41670.282201963986</v>
      </c>
      <c r="I59" s="36">
        <f t="shared" si="1"/>
        <v>-867.79863169332862</v>
      </c>
      <c r="K59" s="38">
        <f t="shared" si="2"/>
        <v>36161413.877139211</v>
      </c>
    </row>
    <row r="60" spans="1:11" x14ac:dyDescent="0.25">
      <c r="A60" t="s">
        <v>205</v>
      </c>
      <c r="B60" t="s">
        <v>206</v>
      </c>
      <c r="C60" s="30">
        <v>23748.518017003102</v>
      </c>
      <c r="D60" s="30">
        <v>1279.89475965422</v>
      </c>
      <c r="H60" s="36">
        <f t="shared" si="0"/>
        <v>-28691.300168865382</v>
      </c>
      <c r="I60" s="36">
        <f t="shared" si="1"/>
        <v>-1274.4682850433385</v>
      </c>
      <c r="K60" s="38">
        <f t="shared" si="2"/>
        <v>36566152.121877514</v>
      </c>
    </row>
    <row r="61" spans="1:11" x14ac:dyDescent="0.25">
      <c r="A61" t="s">
        <v>207</v>
      </c>
      <c r="B61" t="s">
        <v>208</v>
      </c>
      <c r="C61" s="30">
        <v>17552.554804572399</v>
      </c>
      <c r="D61" s="30">
        <v>1678.7307257729201</v>
      </c>
      <c r="H61" s="36">
        <f t="shared" si="0"/>
        <v>-34887.263381296085</v>
      </c>
      <c r="I61" s="36">
        <f t="shared" si="1"/>
        <v>-875.63231892463841</v>
      </c>
      <c r="K61" s="38">
        <f t="shared" si="2"/>
        <v>30548415.335498914</v>
      </c>
    </row>
    <row r="62" spans="1:11" x14ac:dyDescent="0.25">
      <c r="A62" t="s">
        <v>209</v>
      </c>
      <c r="B62" t="s">
        <v>210</v>
      </c>
      <c r="C62" s="30">
        <v>57810.378531367103</v>
      </c>
      <c r="D62" s="30">
        <v>1807.66637698984</v>
      </c>
      <c r="H62" s="36">
        <f t="shared" si="0"/>
        <v>5370.5603454986194</v>
      </c>
      <c r="I62" s="36">
        <f t="shared" si="1"/>
        <v>-746.69666770771846</v>
      </c>
      <c r="K62" s="38">
        <f t="shared" si="2"/>
        <v>-4010179.5137070324</v>
      </c>
    </row>
    <row r="63" spans="1:11" x14ac:dyDescent="0.25">
      <c r="A63" t="s">
        <v>211</v>
      </c>
      <c r="B63" t="s">
        <v>212</v>
      </c>
      <c r="C63" s="30">
        <v>3667.4721765724298</v>
      </c>
      <c r="D63" s="30">
        <v>190.25102118942399</v>
      </c>
      <c r="H63" s="36">
        <f t="shared" si="0"/>
        <v>-48772.346009296052</v>
      </c>
      <c r="I63" s="36">
        <f t="shared" si="1"/>
        <v>-2364.1120235081344</v>
      </c>
      <c r="K63" s="38">
        <f t="shared" si="2"/>
        <v>115303289.61527577</v>
      </c>
    </row>
    <row r="64" spans="1:11" x14ac:dyDescent="0.25">
      <c r="A64" t="s">
        <v>213</v>
      </c>
      <c r="B64" t="s">
        <v>214</v>
      </c>
      <c r="C64" s="30">
        <v>123705.218137552</v>
      </c>
      <c r="D64" s="30">
        <v>8405.84165336755</v>
      </c>
      <c r="H64" s="36">
        <f t="shared" si="0"/>
        <v>71265.399951683517</v>
      </c>
      <c r="I64" s="36">
        <f t="shared" si="1"/>
        <v>5851.4786086699914</v>
      </c>
      <c r="K64" s="38">
        <f t="shared" si="2"/>
        <v>417007963.35558754</v>
      </c>
    </row>
    <row r="65" spans="1:11" x14ac:dyDescent="0.25">
      <c r="A65" t="s">
        <v>215</v>
      </c>
      <c r="B65" t="s">
        <v>216</v>
      </c>
      <c r="C65" s="30">
        <v>3806.4543923227202</v>
      </c>
      <c r="D65" s="30">
        <v>280.16905741908101</v>
      </c>
      <c r="H65" s="36">
        <f t="shared" si="0"/>
        <v>-48633.363793545766</v>
      </c>
      <c r="I65" s="36">
        <f t="shared" si="1"/>
        <v>-2274.1939872784774</v>
      </c>
      <c r="K65" s="38">
        <f t="shared" si="2"/>
        <v>110601703.52040859</v>
      </c>
    </row>
    <row r="66" spans="1:11" x14ac:dyDescent="0.25">
      <c r="A66" t="s">
        <v>217</v>
      </c>
      <c r="B66" t="s">
        <v>218</v>
      </c>
      <c r="C66" s="30">
        <v>39482.026461003603</v>
      </c>
      <c r="D66" s="30">
        <v>2292.18300331007</v>
      </c>
      <c r="H66" s="36">
        <f t="shared" si="0"/>
        <v>-12957.791724864881</v>
      </c>
      <c r="I66" s="36">
        <f t="shared" si="1"/>
        <v>-262.18004138748847</v>
      </c>
      <c r="K66" s="38">
        <f t="shared" si="2"/>
        <v>3397274.3707155301</v>
      </c>
    </row>
    <row r="67" spans="1:11" x14ac:dyDescent="0.25">
      <c r="A67" t="s">
        <v>219</v>
      </c>
      <c r="B67" t="s">
        <v>220</v>
      </c>
      <c r="C67" s="30">
        <v>14337.094557842</v>
      </c>
      <c r="D67" s="30">
        <v>1293.76893449261</v>
      </c>
      <c r="H67" s="36">
        <f t="shared" si="0"/>
        <v>-38102.723628026484</v>
      </c>
      <c r="I67" s="36">
        <f t="shared" si="1"/>
        <v>-1260.5941102049485</v>
      </c>
      <c r="K67" s="38">
        <f t="shared" si="2"/>
        <v>48032068.98825711</v>
      </c>
    </row>
    <row r="68" spans="1:11" x14ac:dyDescent="0.25">
      <c r="A68" t="s">
        <v>221</v>
      </c>
      <c r="B68" t="s">
        <v>222</v>
      </c>
      <c r="C68" s="30">
        <v>806.35077182899704</v>
      </c>
      <c r="D68" s="30">
        <v>50.457348704664298</v>
      </c>
      <c r="H68" s="36">
        <f t="shared" si="0"/>
        <v>-51633.467414039485</v>
      </c>
      <c r="I68" s="36">
        <f t="shared" si="1"/>
        <v>-2503.9056959928944</v>
      </c>
      <c r="K68" s="38">
        <f t="shared" si="2"/>
        <v>129285333.16187698</v>
      </c>
    </row>
    <row r="69" spans="1:11" x14ac:dyDescent="0.25">
      <c r="A69" t="s">
        <v>223</v>
      </c>
      <c r="B69" t="s">
        <v>224</v>
      </c>
      <c r="C69" s="30">
        <v>194363.075634051</v>
      </c>
      <c r="D69" s="30">
        <v>14501.954474764199</v>
      </c>
      <c r="H69" s="36">
        <f t="shared" si="0"/>
        <v>141923.2574481825</v>
      </c>
      <c r="I69" s="36">
        <f t="shared" si="1"/>
        <v>11947.591430066641</v>
      </c>
      <c r="K69" s="38">
        <f t="shared" si="2"/>
        <v>1695641094.4150467</v>
      </c>
    </row>
    <row r="70" spans="1:11" x14ac:dyDescent="0.25">
      <c r="A70" t="s">
        <v>225</v>
      </c>
      <c r="B70" t="s">
        <v>226</v>
      </c>
      <c r="C70" s="30">
        <v>1431.29375792363</v>
      </c>
      <c r="D70" s="30">
        <v>116.89187871055201</v>
      </c>
      <c r="H70" s="36">
        <f t="shared" si="0"/>
        <v>-51008.524427944853</v>
      </c>
      <c r="I70" s="36">
        <f t="shared" si="1"/>
        <v>-2437.4711659870063</v>
      </c>
      <c r="K70" s="38">
        <f t="shared" si="2"/>
        <v>124331807.51265943</v>
      </c>
    </row>
    <row r="71" spans="1:11" x14ac:dyDescent="0.25">
      <c r="A71" t="s">
        <v>227</v>
      </c>
      <c r="B71" t="s">
        <v>228</v>
      </c>
      <c r="C71" s="30">
        <v>193721.48187383299</v>
      </c>
      <c r="D71" s="30">
        <v>15967.932902537699</v>
      </c>
      <c r="H71" s="36">
        <f t="shared" si="0"/>
        <v>141281.66368796449</v>
      </c>
      <c r="I71" s="36">
        <f t="shared" si="1"/>
        <v>13413.569857840141</v>
      </c>
      <c r="K71" s="38">
        <f t="shared" si="2"/>
        <v>1895091465.5103884</v>
      </c>
    </row>
    <row r="72" spans="1:11" x14ac:dyDescent="0.25">
      <c r="A72" t="s">
        <v>229</v>
      </c>
      <c r="B72" t="s">
        <v>230</v>
      </c>
      <c r="C72" s="30">
        <v>8315.2061895011702</v>
      </c>
      <c r="D72" s="30">
        <v>459.36483344609798</v>
      </c>
      <c r="H72" s="36">
        <f t="shared" si="0"/>
        <v>-44124.611996367312</v>
      </c>
      <c r="I72" s="36">
        <f t="shared" si="1"/>
        <v>-2094.9982112514604</v>
      </c>
      <c r="K72" s="38">
        <f t="shared" si="2"/>
        <v>92440983.204554245</v>
      </c>
    </row>
    <row r="73" spans="1:11" x14ac:dyDescent="0.25">
      <c r="A73" t="s">
        <v>231</v>
      </c>
      <c r="B73" t="s">
        <v>232</v>
      </c>
      <c r="C73" s="30">
        <v>18454.344158522399</v>
      </c>
      <c r="D73" s="30">
        <v>2133.4887003624299</v>
      </c>
      <c r="H73" s="36">
        <f t="shared" si="0"/>
        <v>-33985.474027346085</v>
      </c>
      <c r="I73" s="36">
        <f t="shared" si="1"/>
        <v>-420.87434433512863</v>
      </c>
      <c r="K73" s="38">
        <f t="shared" si="2"/>
        <v>14303614.098177826</v>
      </c>
    </row>
    <row r="74" spans="1:11" x14ac:dyDescent="0.25">
      <c r="A74" t="s">
        <v>233</v>
      </c>
      <c r="B74" t="s">
        <v>234</v>
      </c>
      <c r="C74" s="30">
        <v>8408.5701131387395</v>
      </c>
      <c r="D74" s="30">
        <v>799.53174772092598</v>
      </c>
      <c r="H74" s="36">
        <f t="shared" si="0"/>
        <v>-44031.248072729744</v>
      </c>
      <c r="I74" s="36">
        <f t="shared" si="1"/>
        <v>-1754.8312969766325</v>
      </c>
      <c r="K74" s="38">
        <f t="shared" si="2"/>
        <v>77267412.162968189</v>
      </c>
    </row>
    <row r="75" spans="1:11" x14ac:dyDescent="0.25">
      <c r="A75" t="s">
        <v>235</v>
      </c>
      <c r="B75" t="s">
        <v>236</v>
      </c>
      <c r="C75" s="30">
        <v>1066.1659946360301</v>
      </c>
      <c r="D75" s="30">
        <v>38.557988117518498</v>
      </c>
      <c r="H75" s="36">
        <f t="shared" si="0"/>
        <v>-51373.652191232453</v>
      </c>
      <c r="I75" s="36">
        <f t="shared" si="1"/>
        <v>-2515.8050565800399</v>
      </c>
      <c r="K75" s="38">
        <f t="shared" si="2"/>
        <v>129246093.95768686</v>
      </c>
    </row>
    <row r="76" spans="1:11" x14ac:dyDescent="0.25">
      <c r="A76" t="s">
        <v>237</v>
      </c>
      <c r="B76" t="s">
        <v>238</v>
      </c>
      <c r="C76" s="30">
        <v>973.74248934990896</v>
      </c>
      <c r="D76" s="30">
        <v>71.678562477335106</v>
      </c>
      <c r="H76" s="36">
        <f t="shared" ref="H76:H139" si="3">C76-AVERAGE(C$11:C$201)</f>
        <v>-51466.075696518572</v>
      </c>
      <c r="I76" s="36">
        <f t="shared" ref="I76:I139" si="4">D76-AVERAGE(D$11:D$201)</f>
        <v>-2482.6844822202233</v>
      </c>
      <c r="K76" s="38">
        <f t="shared" ref="K76:K139" si="5">H76*I76</f>
        <v>127774027.49251804</v>
      </c>
    </row>
    <row r="77" spans="1:11" x14ac:dyDescent="0.25">
      <c r="A77" t="s">
        <v>239</v>
      </c>
      <c r="B77" t="s">
        <v>240</v>
      </c>
      <c r="C77" s="30">
        <v>599.68380363738402</v>
      </c>
      <c r="D77" s="30">
        <v>46.195465842142497</v>
      </c>
      <c r="H77" s="36">
        <f t="shared" si="3"/>
        <v>-51840.134382231103</v>
      </c>
      <c r="I77" s="36">
        <f t="shared" si="4"/>
        <v>-2508.1675788554162</v>
      </c>
      <c r="K77" s="38">
        <f t="shared" si="5"/>
        <v>130023744.34102</v>
      </c>
    </row>
    <row r="78" spans="1:11" x14ac:dyDescent="0.25">
      <c r="A78" t="s">
        <v>241</v>
      </c>
      <c r="B78" t="s">
        <v>242</v>
      </c>
      <c r="C78" s="30">
        <v>34755.710642395898</v>
      </c>
      <c r="D78" s="30">
        <v>2684.6925820637198</v>
      </c>
      <c r="H78" s="36">
        <f t="shared" si="3"/>
        <v>-17684.107543472586</v>
      </c>
      <c r="I78" s="36">
        <f t="shared" si="4"/>
        <v>130.32953736616128</v>
      </c>
      <c r="K78" s="38">
        <f t="shared" si="5"/>
        <v>-2304761.5548742251</v>
      </c>
    </row>
    <row r="79" spans="1:11" x14ac:dyDescent="0.25">
      <c r="A79" t="s">
        <v>243</v>
      </c>
      <c r="B79" t="s">
        <v>244</v>
      </c>
      <c r="C79" s="30">
        <v>186.330290215529</v>
      </c>
      <c r="D79" s="30">
        <v>36.8439427525404</v>
      </c>
      <c r="H79" s="36">
        <f t="shared" si="3"/>
        <v>-52253.487895652957</v>
      </c>
      <c r="I79" s="36">
        <f t="shared" si="4"/>
        <v>-2517.5191019450181</v>
      </c>
      <c r="K79" s="38">
        <f t="shared" si="5"/>
        <v>131549153.92055911</v>
      </c>
    </row>
    <row r="80" spans="1:11" x14ac:dyDescent="0.25">
      <c r="A80" t="s">
        <v>245</v>
      </c>
      <c r="B80" t="s">
        <v>246</v>
      </c>
      <c r="C80" s="30">
        <v>12565.1277968288</v>
      </c>
      <c r="D80" s="30">
        <v>1250.4515423503101</v>
      </c>
      <c r="H80" s="36">
        <f t="shared" si="3"/>
        <v>-39874.690389039686</v>
      </c>
      <c r="I80" s="36">
        <f t="shared" si="4"/>
        <v>-1303.9115023472484</v>
      </c>
      <c r="K80" s="38">
        <f t="shared" si="5"/>
        <v>51993067.450804122</v>
      </c>
    </row>
    <row r="81" spans="1:11" x14ac:dyDescent="0.25">
      <c r="A81" t="s">
        <v>247</v>
      </c>
      <c r="B81" t="s">
        <v>248</v>
      </c>
      <c r="C81" s="30">
        <v>778.160723300585</v>
      </c>
      <c r="D81" s="30">
        <v>128.80979801351901</v>
      </c>
      <c r="H81" s="36">
        <f t="shared" si="3"/>
        <v>-51661.657462567899</v>
      </c>
      <c r="I81" s="36">
        <f t="shared" si="4"/>
        <v>-2425.5532466840396</v>
      </c>
      <c r="K81" s="38">
        <f t="shared" si="5"/>
        <v>125308100.98741031</v>
      </c>
    </row>
    <row r="82" spans="1:11" x14ac:dyDescent="0.25">
      <c r="A82" t="s">
        <v>249</v>
      </c>
      <c r="B82" t="s">
        <v>250</v>
      </c>
      <c r="C82" s="30">
        <v>7700.1528482245703</v>
      </c>
      <c r="D82" s="30">
        <v>521.19903681663402</v>
      </c>
      <c r="H82" s="36">
        <f t="shared" si="3"/>
        <v>-44739.665337643914</v>
      </c>
      <c r="I82" s="36">
        <f t="shared" si="4"/>
        <v>-2033.1640078809246</v>
      </c>
      <c r="K82" s="38">
        <f t="shared" si="5"/>
        <v>90963077.289135382</v>
      </c>
    </row>
    <row r="83" spans="1:11" x14ac:dyDescent="0.25">
      <c r="A83" t="s">
        <v>251</v>
      </c>
      <c r="B83" t="s">
        <v>252</v>
      </c>
      <c r="C83" s="30">
        <v>13864.0813541813</v>
      </c>
      <c r="D83" s="30">
        <v>913.85945802588003</v>
      </c>
      <c r="H83" s="36">
        <f t="shared" si="3"/>
        <v>-38575.736831687187</v>
      </c>
      <c r="I83" s="36">
        <f t="shared" si="4"/>
        <v>-1640.5035866716785</v>
      </c>
      <c r="K83" s="38">
        <f t="shared" si="5"/>
        <v>63283634.630885601</v>
      </c>
    </row>
    <row r="84" spans="1:11" x14ac:dyDescent="0.25">
      <c r="A84" t="s">
        <v>253</v>
      </c>
      <c r="B84" t="s">
        <v>254</v>
      </c>
      <c r="C84" s="30">
        <v>10489.414783647</v>
      </c>
      <c r="D84" s="30">
        <v>1379.13589458969</v>
      </c>
      <c r="H84" s="36">
        <f t="shared" si="3"/>
        <v>-41950.403402221484</v>
      </c>
      <c r="I84" s="36">
        <f t="shared" si="4"/>
        <v>-1175.2271501078685</v>
      </c>
      <c r="K84" s="38">
        <f t="shared" si="5"/>
        <v>49301253.036268182</v>
      </c>
    </row>
    <row r="85" spans="1:11" x14ac:dyDescent="0.25">
      <c r="A85" t="s">
        <v>255</v>
      </c>
      <c r="B85" t="s">
        <v>256</v>
      </c>
      <c r="C85" s="30">
        <v>34033.262040981397</v>
      </c>
      <c r="D85" s="30">
        <v>1565.7270908102</v>
      </c>
      <c r="H85" s="36">
        <f t="shared" si="3"/>
        <v>-18406.556144887087</v>
      </c>
      <c r="I85" s="36">
        <f t="shared" si="4"/>
        <v>-988.63595388735848</v>
      </c>
      <c r="K85" s="38">
        <f t="shared" si="5"/>
        <v>18197383.192081664</v>
      </c>
    </row>
    <row r="86" spans="1:11" x14ac:dyDescent="0.25">
      <c r="A86" t="s">
        <v>257</v>
      </c>
      <c r="B86" t="s">
        <v>258</v>
      </c>
      <c r="C86" s="30">
        <v>228890.08847959101</v>
      </c>
      <c r="D86" s="30">
        <v>11407.069864634001</v>
      </c>
      <c r="H86" s="36">
        <f t="shared" si="3"/>
        <v>176450.27029372251</v>
      </c>
      <c r="I86" s="36">
        <f t="shared" si="4"/>
        <v>8852.7068199364421</v>
      </c>
      <c r="K86" s="38">
        <f t="shared" si="5"/>
        <v>1562062511.2088659</v>
      </c>
    </row>
    <row r="87" spans="1:11" x14ac:dyDescent="0.25">
      <c r="A87" t="s">
        <v>259</v>
      </c>
      <c r="B87" t="s">
        <v>260</v>
      </c>
      <c r="C87" s="30">
        <v>929554.75797354395</v>
      </c>
      <c r="D87" s="30">
        <v>32107.145508504102</v>
      </c>
      <c r="H87" s="36">
        <f t="shared" si="3"/>
        <v>877114.93978767551</v>
      </c>
      <c r="I87" s="36">
        <f t="shared" si="4"/>
        <v>29552.782463806543</v>
      </c>
      <c r="K87" s="38">
        <f t="shared" si="5"/>
        <v>25921187011.29995</v>
      </c>
    </row>
    <row r="88" spans="1:11" x14ac:dyDescent="0.25">
      <c r="A88" t="s">
        <v>261</v>
      </c>
      <c r="B88" t="s">
        <v>262</v>
      </c>
      <c r="C88" s="30">
        <v>10257.785633927</v>
      </c>
      <c r="D88" s="30">
        <v>795.60583850112505</v>
      </c>
      <c r="H88" s="36">
        <f t="shared" si="3"/>
        <v>-42182.032551941484</v>
      </c>
      <c r="I88" s="36">
        <f t="shared" si="4"/>
        <v>-1758.7572061964333</v>
      </c>
      <c r="K88" s="38">
        <f t="shared" si="5"/>
        <v>74187953.722739607</v>
      </c>
    </row>
    <row r="89" spans="1:11" x14ac:dyDescent="0.25">
      <c r="A89" t="s">
        <v>263</v>
      </c>
      <c r="B89" t="s">
        <v>264</v>
      </c>
      <c r="C89" s="30">
        <v>66679.786095134201</v>
      </c>
      <c r="D89" s="30">
        <v>3916.2544901042902</v>
      </c>
      <c r="H89" s="36">
        <f t="shared" si="3"/>
        <v>14239.967909265717</v>
      </c>
      <c r="I89" s="36">
        <f t="shared" si="4"/>
        <v>1361.8914454067317</v>
      </c>
      <c r="K89" s="38">
        <f t="shared" si="5"/>
        <v>19393290.478495363</v>
      </c>
    </row>
    <row r="90" spans="1:11" x14ac:dyDescent="0.25">
      <c r="A90" t="s">
        <v>265</v>
      </c>
      <c r="B90" t="s">
        <v>266</v>
      </c>
      <c r="C90" s="30">
        <v>24381.343741622401</v>
      </c>
      <c r="D90" s="30">
        <v>861.37862809850401</v>
      </c>
      <c r="H90" s="36">
        <f t="shared" si="3"/>
        <v>-28058.474444246083</v>
      </c>
      <c r="I90" s="36">
        <f t="shared" si="4"/>
        <v>-1692.9844165990544</v>
      </c>
      <c r="K90" s="38">
        <f t="shared" si="5"/>
        <v>47502559.98765143</v>
      </c>
    </row>
    <row r="91" spans="1:11" x14ac:dyDescent="0.25">
      <c r="A91" t="s">
        <v>267</v>
      </c>
      <c r="B91" t="s">
        <v>268</v>
      </c>
      <c r="C91" s="30">
        <v>648.96887472205799</v>
      </c>
      <c r="D91" s="30">
        <v>63.560616778974698</v>
      </c>
      <c r="H91" s="36">
        <f t="shared" si="3"/>
        <v>-51790.849311146427</v>
      </c>
      <c r="I91" s="36">
        <f t="shared" si="4"/>
        <v>-2490.8024279185838</v>
      </c>
      <c r="K91" s="38">
        <f t="shared" si="5"/>
        <v>129000773.20816903</v>
      </c>
    </row>
    <row r="92" spans="1:11" x14ac:dyDescent="0.25">
      <c r="A92" t="s">
        <v>269</v>
      </c>
      <c r="B92" t="s">
        <v>270</v>
      </c>
      <c r="C92" s="30">
        <v>14445.7849374827</v>
      </c>
      <c r="D92" s="30">
        <v>764.24305054453203</v>
      </c>
      <c r="H92" s="36">
        <f t="shared" si="3"/>
        <v>-37994.033248385786</v>
      </c>
      <c r="I92" s="36">
        <f t="shared" si="4"/>
        <v>-1790.1199941530265</v>
      </c>
      <c r="K92" s="38">
        <f t="shared" si="5"/>
        <v>68013878.576450258</v>
      </c>
    </row>
    <row r="93" spans="1:11" x14ac:dyDescent="0.25">
      <c r="A93" t="s">
        <v>271</v>
      </c>
      <c r="B93" t="s">
        <v>272</v>
      </c>
      <c r="C93" s="30">
        <v>189150.086489245</v>
      </c>
      <c r="D93" s="30">
        <v>11673.7561357512</v>
      </c>
      <c r="H93" s="36">
        <f t="shared" si="3"/>
        <v>136710.26830337651</v>
      </c>
      <c r="I93" s="36">
        <f t="shared" si="4"/>
        <v>9119.3930910536419</v>
      </c>
      <c r="K93" s="38">
        <f t="shared" si="5"/>
        <v>1246714676.2419014</v>
      </c>
    </row>
    <row r="94" spans="1:11" x14ac:dyDescent="0.25">
      <c r="A94" t="s">
        <v>273</v>
      </c>
      <c r="B94" t="s">
        <v>274</v>
      </c>
      <c r="C94" s="30">
        <v>4316.7158154213002</v>
      </c>
      <c r="D94" s="30">
        <v>847.644137592113</v>
      </c>
      <c r="H94" s="36">
        <f t="shared" si="3"/>
        <v>-48123.102370447181</v>
      </c>
      <c r="I94" s="36">
        <f t="shared" si="4"/>
        <v>-1706.7189071054454</v>
      </c>
      <c r="K94" s="38">
        <f t="shared" si="5"/>
        <v>82132608.684213087</v>
      </c>
    </row>
    <row r="95" spans="1:11" x14ac:dyDescent="0.25">
      <c r="A95" t="s">
        <v>275</v>
      </c>
      <c r="B95" t="s">
        <v>276</v>
      </c>
      <c r="C95" s="30">
        <v>5631.5415858677197</v>
      </c>
      <c r="D95" s="30">
        <v>256.50548407913402</v>
      </c>
      <c r="H95" s="36">
        <f t="shared" si="3"/>
        <v>-46808.276600000761</v>
      </c>
      <c r="I95" s="36">
        <f t="shared" si="4"/>
        <v>-2297.8575606184245</v>
      </c>
      <c r="K95" s="38">
        <f t="shared" si="5"/>
        <v>107558752.28483023</v>
      </c>
    </row>
    <row r="96" spans="1:11" x14ac:dyDescent="0.25">
      <c r="A96" t="s">
        <v>277</v>
      </c>
      <c r="B96" t="s">
        <v>278</v>
      </c>
      <c r="C96" s="30">
        <v>437745.52509406599</v>
      </c>
      <c r="D96" s="30">
        <v>16408.044902300298</v>
      </c>
      <c r="H96" s="36">
        <f t="shared" si="3"/>
        <v>385305.70690819749</v>
      </c>
      <c r="I96" s="36">
        <f t="shared" si="4"/>
        <v>13853.68185760274</v>
      </c>
      <c r="K96" s="38">
        <f t="shared" si="5"/>
        <v>5337902681.4248943</v>
      </c>
    </row>
    <row r="97" spans="1:11" x14ac:dyDescent="0.25">
      <c r="A97" t="s">
        <v>279</v>
      </c>
      <c r="B97" t="s">
        <v>280</v>
      </c>
      <c r="C97" s="30">
        <v>21028.913892860099</v>
      </c>
      <c r="D97" s="30">
        <v>601.11869349860399</v>
      </c>
      <c r="H97" s="36">
        <f t="shared" si="3"/>
        <v>-31410.904293008385</v>
      </c>
      <c r="I97" s="36">
        <f t="shared" si="4"/>
        <v>-1953.2443511989545</v>
      </c>
      <c r="K97" s="38">
        <f t="shared" si="5"/>
        <v>61353171.376369618</v>
      </c>
    </row>
    <row r="98" spans="1:11" x14ac:dyDescent="0.25">
      <c r="A98" t="s">
        <v>281</v>
      </c>
      <c r="B98" t="s">
        <v>282</v>
      </c>
      <c r="C98" s="30">
        <v>23224.784181685402</v>
      </c>
      <c r="D98" s="30">
        <v>1886.71868303357</v>
      </c>
      <c r="H98" s="36">
        <f t="shared" si="3"/>
        <v>-29215.034004183082</v>
      </c>
      <c r="I98" s="36">
        <f t="shared" si="4"/>
        <v>-667.64436166398855</v>
      </c>
      <c r="K98" s="38">
        <f t="shared" si="5"/>
        <v>19505252.728714533</v>
      </c>
    </row>
    <row r="99" spans="1:11" x14ac:dyDescent="0.25">
      <c r="A99" t="s">
        <v>283</v>
      </c>
      <c r="B99" t="s">
        <v>284</v>
      </c>
      <c r="C99" s="30">
        <v>4143.3708793672804</v>
      </c>
      <c r="D99" s="30">
        <v>112.89727150568901</v>
      </c>
      <c r="H99" s="36">
        <f t="shared" si="3"/>
        <v>-48296.447306501206</v>
      </c>
      <c r="I99" s="36">
        <f t="shared" si="4"/>
        <v>-2441.4657731918696</v>
      </c>
      <c r="K99" s="38">
        <f t="shared" si="5"/>
        <v>117914123.06558736</v>
      </c>
    </row>
    <row r="100" spans="1:11" x14ac:dyDescent="0.25">
      <c r="A100" t="s">
        <v>285</v>
      </c>
      <c r="B100" t="s">
        <v>286</v>
      </c>
      <c r="C100" s="30">
        <v>14517.4813603439</v>
      </c>
      <c r="D100" s="30">
        <v>662.74341947164703</v>
      </c>
      <c r="H100" s="36">
        <f t="shared" si="3"/>
        <v>-37922.336825524588</v>
      </c>
      <c r="I100" s="36">
        <f t="shared" si="4"/>
        <v>-1891.6196252259115</v>
      </c>
      <c r="K100" s="38">
        <f t="shared" si="5"/>
        <v>71734636.573589608</v>
      </c>
    </row>
    <row r="101" spans="1:11" x14ac:dyDescent="0.25">
      <c r="A101" t="s">
        <v>287</v>
      </c>
      <c r="B101" t="s">
        <v>288</v>
      </c>
      <c r="C101" s="30">
        <v>98.760821735780297</v>
      </c>
      <c r="D101" s="30">
        <v>20.027458093186301</v>
      </c>
      <c r="H101" s="36">
        <f t="shared" si="3"/>
        <v>-52341.057364132706</v>
      </c>
      <c r="I101" s="36">
        <f t="shared" si="4"/>
        <v>-2534.3355866043721</v>
      </c>
      <c r="K101" s="38">
        <f t="shared" si="5"/>
        <v>132649804.31842235</v>
      </c>
    </row>
    <row r="102" spans="1:11" x14ac:dyDescent="0.25">
      <c r="A102" t="s">
        <v>289</v>
      </c>
      <c r="B102" t="s">
        <v>290</v>
      </c>
      <c r="C102" s="30">
        <v>103436.73109983699</v>
      </c>
      <c r="D102" s="30">
        <v>2711.7549485191798</v>
      </c>
      <c r="H102" s="36">
        <f t="shared" si="3"/>
        <v>50996.91291396851</v>
      </c>
      <c r="I102" s="36">
        <f t="shared" si="4"/>
        <v>157.39190382162133</v>
      </c>
      <c r="K102" s="38">
        <f t="shared" si="5"/>
        <v>8026501.2125549307</v>
      </c>
    </row>
    <row r="103" spans="1:11" x14ac:dyDescent="0.25">
      <c r="A103" t="s">
        <v>291</v>
      </c>
      <c r="B103" t="s">
        <v>292</v>
      </c>
      <c r="C103" s="30">
        <v>1648.2314336076799</v>
      </c>
      <c r="D103" s="30">
        <v>105.849027480212</v>
      </c>
      <c r="H103" s="36">
        <f t="shared" si="3"/>
        <v>-50791.586752260802</v>
      </c>
      <c r="I103" s="36">
        <f t="shared" si="4"/>
        <v>-2448.5140172173465</v>
      </c>
      <c r="K103" s="38">
        <f t="shared" si="5"/>
        <v>124363912.11962146</v>
      </c>
    </row>
    <row r="104" spans="1:11" x14ac:dyDescent="0.25">
      <c r="A104" t="s">
        <v>293</v>
      </c>
      <c r="B104" t="s">
        <v>294</v>
      </c>
      <c r="C104" s="30">
        <v>4963.1705754886598</v>
      </c>
      <c r="D104" s="30">
        <v>208.904015985196</v>
      </c>
      <c r="H104" s="36">
        <f t="shared" si="3"/>
        <v>-47476.647610379827</v>
      </c>
      <c r="I104" s="36">
        <f t="shared" si="4"/>
        <v>-2345.4590287123624</v>
      </c>
      <c r="K104" s="38">
        <f t="shared" si="5"/>
        <v>111354531.79076058</v>
      </c>
    </row>
    <row r="105" spans="1:11" x14ac:dyDescent="0.25">
      <c r="A105" t="s">
        <v>295</v>
      </c>
      <c r="B105" t="s">
        <v>296</v>
      </c>
      <c r="C105" s="30">
        <v>7480.1544665812899</v>
      </c>
      <c r="D105" s="30">
        <v>587.87289128144096</v>
      </c>
      <c r="H105" s="36">
        <f t="shared" si="3"/>
        <v>-44959.663719287193</v>
      </c>
      <c r="I105" s="36">
        <f t="shared" si="4"/>
        <v>-1966.4901534161177</v>
      </c>
      <c r="K105" s="38">
        <f t="shared" si="5"/>
        <v>88412736.004878134</v>
      </c>
    </row>
    <row r="106" spans="1:11" x14ac:dyDescent="0.25">
      <c r="A106" t="s">
        <v>297</v>
      </c>
      <c r="B106" t="s">
        <v>298</v>
      </c>
      <c r="C106" s="30">
        <v>2047.3084252272999</v>
      </c>
      <c r="D106" s="30">
        <v>215.75999258687801</v>
      </c>
      <c r="H106" s="36">
        <f t="shared" si="3"/>
        <v>-50392.509760641187</v>
      </c>
      <c r="I106" s="36">
        <f t="shared" si="4"/>
        <v>-2338.6030521106804</v>
      </c>
      <c r="K106" s="38">
        <f t="shared" si="5"/>
        <v>117848077.12975274</v>
      </c>
    </row>
    <row r="107" spans="1:11" x14ac:dyDescent="0.25">
      <c r="A107" t="s">
        <v>299</v>
      </c>
      <c r="B107" t="s">
        <v>300</v>
      </c>
      <c r="C107" s="30">
        <v>5423.5638815948396</v>
      </c>
      <c r="D107" s="30">
        <v>207.907619240038</v>
      </c>
      <c r="H107" s="36">
        <f t="shared" si="3"/>
        <v>-47016.254304273643</v>
      </c>
      <c r="I107" s="36">
        <f t="shared" si="4"/>
        <v>-2346.4554254575205</v>
      </c>
      <c r="K107" s="38">
        <f t="shared" si="5"/>
        <v>110321544.9969534</v>
      </c>
    </row>
    <row r="108" spans="1:11" x14ac:dyDescent="0.25">
      <c r="A108" t="s">
        <v>301</v>
      </c>
      <c r="B108" t="s">
        <v>302</v>
      </c>
      <c r="C108" s="30">
        <v>302.26534926483703</v>
      </c>
      <c r="D108" s="30">
        <v>67.218960135304997</v>
      </c>
      <c r="H108" s="36">
        <f t="shared" si="3"/>
        <v>-52137.552836603645</v>
      </c>
      <c r="I108" s="36">
        <f t="shared" si="4"/>
        <v>-2487.1440845622537</v>
      </c>
      <c r="K108" s="38">
        <f t="shared" si="5"/>
        <v>129673606.12111071</v>
      </c>
    </row>
    <row r="109" spans="1:11" x14ac:dyDescent="0.25">
      <c r="A109" t="s">
        <v>303</v>
      </c>
      <c r="B109" t="s">
        <v>304</v>
      </c>
      <c r="C109" s="30">
        <v>18661.3863969503</v>
      </c>
      <c r="D109" s="30">
        <v>655.55948631639501</v>
      </c>
      <c r="H109" s="36">
        <f t="shared" si="3"/>
        <v>-33778.431788918184</v>
      </c>
      <c r="I109" s="36">
        <f t="shared" si="4"/>
        <v>-1898.8035583811634</v>
      </c>
      <c r="K109" s="38">
        <f t="shared" si="5"/>
        <v>64138606.477333255</v>
      </c>
    </row>
    <row r="110" spans="1:11" x14ac:dyDescent="0.25">
      <c r="A110" t="s">
        <v>305</v>
      </c>
      <c r="B110" t="s">
        <v>306</v>
      </c>
      <c r="C110" s="30">
        <v>2210.7702013766502</v>
      </c>
      <c r="D110" s="30">
        <v>186.91281392358701</v>
      </c>
      <c r="H110" s="36">
        <f t="shared" si="3"/>
        <v>-50229.04798449183</v>
      </c>
      <c r="I110" s="36">
        <f t="shared" si="4"/>
        <v>-2367.4502307739713</v>
      </c>
      <c r="K110" s="38">
        <f t="shared" si="5"/>
        <v>118914771.24244206</v>
      </c>
    </row>
    <row r="111" spans="1:11" x14ac:dyDescent="0.25">
      <c r="A111" t="s">
        <v>307</v>
      </c>
      <c r="B111" t="s">
        <v>308</v>
      </c>
      <c r="C111" s="30">
        <v>7812.30295975835</v>
      </c>
      <c r="D111" s="30">
        <v>550.50625519105699</v>
      </c>
      <c r="H111" s="36">
        <f t="shared" si="3"/>
        <v>-44627.515226110132</v>
      </c>
      <c r="I111" s="36">
        <f t="shared" si="4"/>
        <v>-2003.8567895065016</v>
      </c>
      <c r="K111" s="38">
        <f t="shared" si="5"/>
        <v>89427149.384645566</v>
      </c>
    </row>
    <row r="112" spans="1:11" x14ac:dyDescent="0.25">
      <c r="A112" t="s">
        <v>309</v>
      </c>
      <c r="B112" t="s">
        <v>310</v>
      </c>
      <c r="C112" s="30">
        <v>1284.4415231235</v>
      </c>
      <c r="D112" s="30">
        <v>84.714827070049495</v>
      </c>
      <c r="H112" s="36">
        <f t="shared" si="3"/>
        <v>-51155.37666274498</v>
      </c>
      <c r="I112" s="36">
        <f t="shared" si="4"/>
        <v>-2469.648217627509</v>
      </c>
      <c r="K112" s="38">
        <f t="shared" si="5"/>
        <v>126335784.797212</v>
      </c>
    </row>
    <row r="113" spans="1:11" x14ac:dyDescent="0.25">
      <c r="A113" t="s">
        <v>311</v>
      </c>
      <c r="B113" t="s">
        <v>312</v>
      </c>
      <c r="C113" s="30">
        <v>5557.0250390482797</v>
      </c>
      <c r="D113" s="30">
        <v>398.181718106353</v>
      </c>
      <c r="H113" s="36">
        <f t="shared" si="3"/>
        <v>-46882.7931468202</v>
      </c>
      <c r="I113" s="36">
        <f t="shared" si="4"/>
        <v>-2156.1813265912056</v>
      </c>
      <c r="K113" s="38">
        <f t="shared" si="5"/>
        <v>101087803.12161186</v>
      </c>
    </row>
    <row r="114" spans="1:11" x14ac:dyDescent="0.25">
      <c r="A114" t="s">
        <v>313</v>
      </c>
      <c r="B114" t="s">
        <v>314</v>
      </c>
      <c r="C114" s="30">
        <v>27902.930901096599</v>
      </c>
      <c r="D114" s="30">
        <v>1184.79170432919</v>
      </c>
      <c r="H114" s="36">
        <f t="shared" si="3"/>
        <v>-24536.887284771885</v>
      </c>
      <c r="I114" s="36">
        <f t="shared" si="4"/>
        <v>-1369.5713403683685</v>
      </c>
      <c r="K114" s="38">
        <f t="shared" si="5"/>
        <v>33605017.607072607</v>
      </c>
    </row>
    <row r="115" spans="1:11" x14ac:dyDescent="0.25">
      <c r="A115" t="s">
        <v>315</v>
      </c>
      <c r="B115" t="s">
        <v>316</v>
      </c>
      <c r="C115" s="30">
        <v>224.502519106178</v>
      </c>
      <c r="D115" s="30">
        <v>11.912932795402201</v>
      </c>
      <c r="H115" s="36">
        <f t="shared" si="3"/>
        <v>-52215.315666762304</v>
      </c>
      <c r="I115" s="36">
        <f t="shared" si="4"/>
        <v>-2542.4501119021561</v>
      </c>
      <c r="K115" s="38">
        <f t="shared" si="5"/>
        <v>132754835.15996623</v>
      </c>
    </row>
    <row r="116" spans="1:11" x14ac:dyDescent="0.25">
      <c r="A116" t="s">
        <v>317</v>
      </c>
      <c r="B116" t="s">
        <v>318</v>
      </c>
      <c r="C116" s="30">
        <v>6235.0640717139904</v>
      </c>
      <c r="D116" s="30">
        <v>307.21011141482001</v>
      </c>
      <c r="H116" s="36">
        <f t="shared" si="3"/>
        <v>-46204.754114154493</v>
      </c>
      <c r="I116" s="36">
        <f t="shared" si="4"/>
        <v>-2247.1529332827386</v>
      </c>
      <c r="K116" s="38">
        <f t="shared" si="5"/>
        <v>103829148.73922995</v>
      </c>
    </row>
    <row r="117" spans="1:11" x14ac:dyDescent="0.25">
      <c r="A117" t="s">
        <v>319</v>
      </c>
      <c r="B117" t="s">
        <v>320</v>
      </c>
      <c r="C117" s="30">
        <v>10990.903223797801</v>
      </c>
      <c r="D117" s="30">
        <v>778.27286169337003</v>
      </c>
      <c r="H117" s="36">
        <f t="shared" si="3"/>
        <v>-41448.914962070681</v>
      </c>
      <c r="I117" s="36">
        <f t="shared" si="4"/>
        <v>-1776.0901830041885</v>
      </c>
      <c r="K117" s="38">
        <f t="shared" si="5"/>
        <v>73617010.960309163</v>
      </c>
    </row>
    <row r="118" spans="1:11" x14ac:dyDescent="0.25">
      <c r="A118" t="s">
        <v>321</v>
      </c>
      <c r="B118" t="s">
        <v>322</v>
      </c>
      <c r="C118" s="30">
        <v>211.784379782282</v>
      </c>
      <c r="D118" s="30">
        <v>10.167580959284001</v>
      </c>
      <c r="H118" s="36">
        <f t="shared" si="3"/>
        <v>-52228.033806086205</v>
      </c>
      <c r="I118" s="36">
        <f t="shared" si="4"/>
        <v>-2544.1954637382746</v>
      </c>
      <c r="K118" s="38">
        <f t="shared" si="5"/>
        <v>132878326.68941377</v>
      </c>
    </row>
    <row r="119" spans="1:11" x14ac:dyDescent="0.25">
      <c r="A119" t="s">
        <v>323</v>
      </c>
      <c r="B119" t="s">
        <v>324</v>
      </c>
      <c r="C119" s="30">
        <v>105590.82140398301</v>
      </c>
      <c r="D119" s="30">
        <v>9256.4914810707596</v>
      </c>
      <c r="H119" s="36">
        <f t="shared" si="3"/>
        <v>53151.003218114522</v>
      </c>
      <c r="I119" s="36">
        <f t="shared" si="4"/>
        <v>6702.1284363732011</v>
      </c>
      <c r="K119" s="38">
        <f t="shared" si="5"/>
        <v>356224850.08988887</v>
      </c>
    </row>
    <row r="120" spans="1:11" x14ac:dyDescent="0.25">
      <c r="A120" t="s">
        <v>325</v>
      </c>
      <c r="B120" t="s">
        <v>326</v>
      </c>
      <c r="C120" s="30">
        <v>53.468051537794899</v>
      </c>
      <c r="D120" s="30">
        <v>2.9216018301751299</v>
      </c>
      <c r="H120" s="36">
        <f t="shared" si="3"/>
        <v>-52386.350134330693</v>
      </c>
      <c r="I120" s="36">
        <f t="shared" si="4"/>
        <v>-2551.4414428673836</v>
      </c>
      <c r="K120" s="38">
        <f t="shared" si="5"/>
        <v>133660704.77329266</v>
      </c>
    </row>
    <row r="121" spans="1:11" x14ac:dyDescent="0.25">
      <c r="A121" t="s">
        <v>327</v>
      </c>
      <c r="B121" t="s">
        <v>328</v>
      </c>
      <c r="C121" s="30">
        <v>5424.1096851565999</v>
      </c>
      <c r="D121" s="30">
        <v>287.57467430761801</v>
      </c>
      <c r="H121" s="36">
        <f t="shared" si="3"/>
        <v>-47015.708500711888</v>
      </c>
      <c r="I121" s="36">
        <f t="shared" si="4"/>
        <v>-2266.7883703899406</v>
      </c>
      <c r="K121" s="38">
        <f t="shared" si="5"/>
        <v>106574661.25505717</v>
      </c>
    </row>
    <row r="122" spans="1:11" x14ac:dyDescent="0.25">
      <c r="A122" t="s">
        <v>329</v>
      </c>
      <c r="B122" t="s">
        <v>330</v>
      </c>
      <c r="C122" s="30">
        <v>9310.8214184401404</v>
      </c>
      <c r="D122" s="30">
        <v>450.82585192877201</v>
      </c>
      <c r="H122" s="36">
        <f t="shared" si="3"/>
        <v>-43128.99676742834</v>
      </c>
      <c r="I122" s="36">
        <f t="shared" si="4"/>
        <v>-2103.5371927687866</v>
      </c>
      <c r="K122" s="38">
        <f t="shared" si="5"/>
        <v>90723448.787090287</v>
      </c>
    </row>
    <row r="123" spans="1:11" x14ac:dyDescent="0.25">
      <c r="A123" t="s">
        <v>331</v>
      </c>
      <c r="B123" t="s">
        <v>332</v>
      </c>
      <c r="C123" s="30">
        <v>987.79240414974197</v>
      </c>
      <c r="D123" s="30">
        <v>56.527412933344401</v>
      </c>
      <c r="H123" s="36">
        <f t="shared" si="3"/>
        <v>-51452.025781718745</v>
      </c>
      <c r="I123" s="36">
        <f t="shared" si="4"/>
        <v>-2497.8356317642142</v>
      </c>
      <c r="K123" s="38">
        <f t="shared" si="5"/>
        <v>128518703.32402807</v>
      </c>
    </row>
    <row r="124" spans="1:11" x14ac:dyDescent="0.25">
      <c r="A124" t="s">
        <v>333</v>
      </c>
      <c r="B124" t="s">
        <v>334</v>
      </c>
      <c r="C124" s="30">
        <v>52543.365462156296</v>
      </c>
      <c r="D124" s="30">
        <v>2183.5113512120001</v>
      </c>
      <c r="H124" s="36">
        <f t="shared" si="3"/>
        <v>103.54727628781256</v>
      </c>
      <c r="I124" s="36">
        <f t="shared" si="4"/>
        <v>-370.85169348555837</v>
      </c>
      <c r="K124" s="38">
        <f t="shared" si="5"/>
        <v>-38400.682767152291</v>
      </c>
    </row>
    <row r="125" spans="1:11" x14ac:dyDescent="0.25">
      <c r="A125" t="s">
        <v>335</v>
      </c>
      <c r="B125" t="s">
        <v>336</v>
      </c>
      <c r="C125" s="30">
        <v>1641.76449090195</v>
      </c>
      <c r="D125" s="30">
        <v>104.824598187958</v>
      </c>
      <c r="H125" s="36">
        <f t="shared" si="3"/>
        <v>-50798.053694966533</v>
      </c>
      <c r="I125" s="36">
        <f t="shared" si="4"/>
        <v>-2449.5384465096004</v>
      </c>
      <c r="K125" s="38">
        <f t="shared" si="5"/>
        <v>124431785.53367959</v>
      </c>
    </row>
    <row r="126" spans="1:11" x14ac:dyDescent="0.25">
      <c r="A126" t="s">
        <v>337</v>
      </c>
      <c r="B126" t="s">
        <v>338</v>
      </c>
      <c r="C126" s="30">
        <v>5957.9126048569597</v>
      </c>
      <c r="D126" s="30">
        <v>52.509390034478301</v>
      </c>
      <c r="H126" s="36">
        <f t="shared" si="3"/>
        <v>-46481.905581011524</v>
      </c>
      <c r="I126" s="36">
        <f t="shared" si="4"/>
        <v>-2501.8536546630803</v>
      </c>
      <c r="K126" s="38">
        <f t="shared" si="5"/>
        <v>116290925.35355791</v>
      </c>
    </row>
    <row r="127" spans="1:11" x14ac:dyDescent="0.25">
      <c r="A127" t="s">
        <v>339</v>
      </c>
      <c r="B127" t="s">
        <v>340</v>
      </c>
      <c r="C127" s="30">
        <v>13501.3285861978</v>
      </c>
      <c r="D127" s="30">
        <v>402.74087851142599</v>
      </c>
      <c r="H127" s="36">
        <f t="shared" si="3"/>
        <v>-38938.489599670684</v>
      </c>
      <c r="I127" s="36">
        <f t="shared" si="4"/>
        <v>-2151.6221661861327</v>
      </c>
      <c r="K127" s="38">
        <f t="shared" si="5"/>
        <v>83780917.34045963</v>
      </c>
    </row>
    <row r="128" spans="1:11" x14ac:dyDescent="0.25">
      <c r="A128" t="s">
        <v>341</v>
      </c>
      <c r="B128" t="s">
        <v>342</v>
      </c>
      <c r="C128" s="30">
        <v>2056.0354819110198</v>
      </c>
      <c r="D128" s="30">
        <v>255.460277467693</v>
      </c>
      <c r="H128" s="36">
        <f t="shared" si="3"/>
        <v>-50383.782703957462</v>
      </c>
      <c r="I128" s="36">
        <f t="shared" si="4"/>
        <v>-2298.9027672298653</v>
      </c>
      <c r="K128" s="38">
        <f t="shared" si="5"/>
        <v>115827417.48163603</v>
      </c>
    </row>
    <row r="129" spans="1:11" x14ac:dyDescent="0.25">
      <c r="A129" t="s">
        <v>343</v>
      </c>
      <c r="B129" t="s">
        <v>344</v>
      </c>
      <c r="C129" s="30">
        <v>1510.16062765418</v>
      </c>
      <c r="D129" s="30">
        <v>96.508629173174896</v>
      </c>
      <c r="H129" s="36">
        <f t="shared" si="3"/>
        <v>-50929.657558214305</v>
      </c>
      <c r="I129" s="36">
        <f t="shared" si="4"/>
        <v>-2457.8544155243835</v>
      </c>
      <c r="K129" s="38">
        <f t="shared" si="5"/>
        <v>125177683.71060182</v>
      </c>
    </row>
    <row r="130" spans="1:11" x14ac:dyDescent="0.25">
      <c r="A130" t="s">
        <v>345</v>
      </c>
      <c r="B130" t="s">
        <v>346</v>
      </c>
      <c r="C130" s="30">
        <v>10091.910744499701</v>
      </c>
      <c r="D130" s="30">
        <v>431.24192964703298</v>
      </c>
      <c r="H130" s="36">
        <f t="shared" si="3"/>
        <v>-42347.907441368785</v>
      </c>
      <c r="I130" s="36">
        <f t="shared" si="4"/>
        <v>-2123.1211150505255</v>
      </c>
      <c r="K130" s="38">
        <f t="shared" si="5"/>
        <v>89909736.466975346</v>
      </c>
    </row>
    <row r="131" spans="1:11" x14ac:dyDescent="0.25">
      <c r="A131" t="s">
        <v>347</v>
      </c>
      <c r="B131" t="s">
        <v>348</v>
      </c>
      <c r="C131" s="30">
        <v>31051.123631711002</v>
      </c>
      <c r="D131" s="30">
        <v>1152.52626605872</v>
      </c>
      <c r="H131" s="36">
        <f t="shared" si="3"/>
        <v>-21388.694554157482</v>
      </c>
      <c r="I131" s="36">
        <f t="shared" si="4"/>
        <v>-1401.8367786388385</v>
      </c>
      <c r="K131" s="38">
        <f t="shared" si="5"/>
        <v>29983458.673090193</v>
      </c>
    </row>
    <row r="132" spans="1:11" x14ac:dyDescent="0.25">
      <c r="A132" t="s">
        <v>349</v>
      </c>
      <c r="B132" t="s">
        <v>350</v>
      </c>
      <c r="C132" s="30">
        <v>1591.7460853985699</v>
      </c>
      <c r="D132" s="30">
        <v>192.92082705505999</v>
      </c>
      <c r="H132" s="36">
        <f t="shared" si="3"/>
        <v>-50848.072100469915</v>
      </c>
      <c r="I132" s="36">
        <f t="shared" si="4"/>
        <v>-2361.4422176424987</v>
      </c>
      <c r="K132" s="38">
        <f t="shared" si="5"/>
        <v>120074784.14377934</v>
      </c>
    </row>
    <row r="133" spans="1:11" x14ac:dyDescent="0.25">
      <c r="A133" t="s">
        <v>351</v>
      </c>
      <c r="B133" t="s">
        <v>352</v>
      </c>
      <c r="C133" s="30">
        <v>6958.3828945098003</v>
      </c>
      <c r="D133" s="30">
        <v>693.36322988850202</v>
      </c>
      <c r="H133" s="36">
        <f t="shared" si="3"/>
        <v>-45481.435291358684</v>
      </c>
      <c r="I133" s="36">
        <f t="shared" si="4"/>
        <v>-1860.9998148090565</v>
      </c>
      <c r="K133" s="38">
        <f t="shared" si="5"/>
        <v>84640942.654468596</v>
      </c>
    </row>
    <row r="134" spans="1:11" x14ac:dyDescent="0.25">
      <c r="A134" t="s">
        <v>353</v>
      </c>
      <c r="B134" t="s">
        <v>354</v>
      </c>
      <c r="C134" s="30">
        <v>81229.585036301607</v>
      </c>
      <c r="D134" s="30">
        <v>15367.2468465645</v>
      </c>
      <c r="H134" s="36">
        <f t="shared" si="3"/>
        <v>28789.766850433123</v>
      </c>
      <c r="I134" s="36">
        <f t="shared" si="4"/>
        <v>12812.883801866941</v>
      </c>
      <c r="K134" s="38">
        <f t="shared" si="5"/>
        <v>368879937.33744037</v>
      </c>
    </row>
    <row r="135" spans="1:11" x14ac:dyDescent="0.25">
      <c r="A135" t="s">
        <v>355</v>
      </c>
      <c r="B135" t="s">
        <v>356</v>
      </c>
      <c r="C135" s="30">
        <v>4407.0025538592799</v>
      </c>
      <c r="D135" s="30">
        <v>479.75687699776699</v>
      </c>
      <c r="H135" s="36">
        <f t="shared" si="3"/>
        <v>-48032.815632009202</v>
      </c>
      <c r="I135" s="36">
        <f t="shared" si="4"/>
        <v>-2074.6061676997915</v>
      </c>
      <c r="K135" s="38">
        <f t="shared" si="5"/>
        <v>99649175.56215325</v>
      </c>
    </row>
    <row r="136" spans="1:11" x14ac:dyDescent="0.25">
      <c r="A136" t="s">
        <v>357</v>
      </c>
      <c r="B136" t="s">
        <v>358</v>
      </c>
      <c r="C136" s="30">
        <v>55905.768469484901</v>
      </c>
      <c r="D136" s="30">
        <v>4105.5299997193097</v>
      </c>
      <c r="H136" s="36">
        <f t="shared" si="3"/>
        <v>3465.9502836164174</v>
      </c>
      <c r="I136" s="36">
        <f t="shared" si="4"/>
        <v>1551.1669550217512</v>
      </c>
      <c r="K136" s="38">
        <f t="shared" si="5"/>
        <v>5376267.5476940535</v>
      </c>
    </row>
    <row r="137" spans="1:11" x14ac:dyDescent="0.25">
      <c r="A137" t="s">
        <v>359</v>
      </c>
      <c r="B137" t="s">
        <v>360</v>
      </c>
      <c r="C137" s="30">
        <v>12574.471909382901</v>
      </c>
      <c r="D137" s="30">
        <v>1370.07960125306</v>
      </c>
      <c r="H137" s="36">
        <f t="shared" si="3"/>
        <v>-39865.346276485579</v>
      </c>
      <c r="I137" s="36">
        <f t="shared" si="4"/>
        <v>-1184.2834434444985</v>
      </c>
      <c r="K137" s="38">
        <f t="shared" si="5"/>
        <v>47211869.562423661</v>
      </c>
    </row>
    <row r="138" spans="1:11" x14ac:dyDescent="0.25">
      <c r="A138" t="s">
        <v>361</v>
      </c>
      <c r="B138" t="s">
        <v>362</v>
      </c>
      <c r="C138" s="30">
        <v>21551.208112875502</v>
      </c>
      <c r="D138" s="30">
        <v>737.81209100601404</v>
      </c>
      <c r="H138" s="36">
        <f t="shared" si="3"/>
        <v>-30888.610072992982</v>
      </c>
      <c r="I138" s="36">
        <f t="shared" si="4"/>
        <v>-1816.5509536915445</v>
      </c>
      <c r="K138" s="38">
        <f t="shared" si="5"/>
        <v>56110734.086301647</v>
      </c>
    </row>
    <row r="139" spans="1:11" x14ac:dyDescent="0.25">
      <c r="A139" t="s">
        <v>363</v>
      </c>
      <c r="B139" t="s">
        <v>364</v>
      </c>
      <c r="C139" s="30">
        <v>7.6123431385470104</v>
      </c>
      <c r="D139" s="30">
        <v>0.26210837638092499</v>
      </c>
      <c r="H139" s="36">
        <f t="shared" si="3"/>
        <v>-52432.205842729934</v>
      </c>
      <c r="I139" s="36">
        <f t="shared" si="4"/>
        <v>-2554.1009363211774</v>
      </c>
      <c r="K139" s="38">
        <f t="shared" si="5"/>
        <v>133917146.03630124</v>
      </c>
    </row>
    <row r="140" spans="1:11" x14ac:dyDescent="0.25">
      <c r="A140" t="s">
        <v>365</v>
      </c>
      <c r="B140" t="s">
        <v>366</v>
      </c>
      <c r="C140" s="30">
        <v>10439.1705335713</v>
      </c>
      <c r="D140" s="30">
        <v>869.13532554833296</v>
      </c>
      <c r="H140" s="36">
        <f t="shared" ref="H140:H201" si="6">C140-AVERAGE(C$11:C$201)</f>
        <v>-42000.647652297186</v>
      </c>
      <c r="I140" s="36">
        <f t="shared" ref="I140:I201" si="7">D140-AVERAGE(D$11:D$201)</f>
        <v>-1685.2277191492255</v>
      </c>
      <c r="K140" s="38">
        <f t="shared" ref="K140:K201" si="8">H140*I140</f>
        <v>70780655.645871058</v>
      </c>
    </row>
    <row r="141" spans="1:11" x14ac:dyDescent="0.25">
      <c r="A141" t="s">
        <v>367</v>
      </c>
      <c r="B141" t="s">
        <v>368</v>
      </c>
      <c r="C141" s="30">
        <v>1363.21810181249</v>
      </c>
      <c r="D141" s="30">
        <v>54.129858101091202</v>
      </c>
      <c r="H141" s="36">
        <f t="shared" si="6"/>
        <v>-51076.600084055994</v>
      </c>
      <c r="I141" s="36">
        <f t="shared" si="7"/>
        <v>-2500.2331865964675</v>
      </c>
      <c r="K141" s="38">
        <f t="shared" si="8"/>
        <v>127703410.58867271</v>
      </c>
    </row>
    <row r="142" spans="1:11" x14ac:dyDescent="0.25">
      <c r="A142" t="s">
        <v>369</v>
      </c>
      <c r="B142" t="s">
        <v>370</v>
      </c>
      <c r="C142" s="30">
        <v>179465.20692758</v>
      </c>
      <c r="D142" s="30">
        <v>4921.9222383178203</v>
      </c>
      <c r="H142" s="36">
        <f t="shared" si="6"/>
        <v>127025.38874171152</v>
      </c>
      <c r="I142" s="36">
        <f t="shared" si="7"/>
        <v>2367.5591936202618</v>
      </c>
      <c r="K142" s="38">
        <f t="shared" si="8"/>
        <v>300740126.93862683</v>
      </c>
    </row>
    <row r="143" spans="1:11" x14ac:dyDescent="0.25">
      <c r="A143" t="s">
        <v>371</v>
      </c>
      <c r="B143" t="s">
        <v>372</v>
      </c>
      <c r="C143" s="30">
        <v>3954.0224758561999</v>
      </c>
      <c r="D143" s="30">
        <v>489.41879450235501</v>
      </c>
      <c r="H143" s="36">
        <f t="shared" si="6"/>
        <v>-48485.795710012288</v>
      </c>
      <c r="I143" s="36">
        <f t="shared" si="7"/>
        <v>-2064.9442501952035</v>
      </c>
      <c r="K143" s="38">
        <f t="shared" si="8"/>
        <v>100120465.06752914</v>
      </c>
    </row>
    <row r="144" spans="1:11" x14ac:dyDescent="0.25">
      <c r="A144" t="s">
        <v>373</v>
      </c>
      <c r="B144" t="s">
        <v>374</v>
      </c>
      <c r="C144" s="30">
        <v>33336.762224528597</v>
      </c>
      <c r="D144" s="30">
        <v>3285.4786791787701</v>
      </c>
      <c r="H144" s="36">
        <f t="shared" si="6"/>
        <v>-19103.055961339887</v>
      </c>
      <c r="I144" s="36">
        <f t="shared" si="7"/>
        <v>731.1156344812116</v>
      </c>
      <c r="K144" s="38">
        <f t="shared" si="8"/>
        <v>-13966542.879705103</v>
      </c>
    </row>
    <row r="145" spans="1:11" x14ac:dyDescent="0.25">
      <c r="A145" t="s">
        <v>375</v>
      </c>
      <c r="B145" t="s">
        <v>376</v>
      </c>
      <c r="C145" s="30">
        <v>81126.308336325994</v>
      </c>
      <c r="D145" s="30">
        <v>4253.3275112040501</v>
      </c>
      <c r="H145" s="36">
        <f t="shared" si="6"/>
        <v>28686.49015045751</v>
      </c>
      <c r="I145" s="36">
        <f t="shared" si="7"/>
        <v>1698.9644665064916</v>
      </c>
      <c r="K145" s="38">
        <f t="shared" si="8"/>
        <v>48737327.434415773</v>
      </c>
    </row>
    <row r="146" spans="1:11" x14ac:dyDescent="0.25">
      <c r="A146" t="s">
        <v>377</v>
      </c>
      <c r="B146" t="s">
        <v>378</v>
      </c>
      <c r="C146" s="30">
        <v>35.592063299331798</v>
      </c>
      <c r="D146" s="30">
        <v>2.19282928843531</v>
      </c>
      <c r="H146" s="36">
        <f t="shared" si="6"/>
        <v>-52404.226122569155</v>
      </c>
      <c r="I146" s="36">
        <f t="shared" si="7"/>
        <v>-2552.1702154091231</v>
      </c>
      <c r="K146" s="38">
        <f t="shared" si="8"/>
        <v>133744505.07158571</v>
      </c>
    </row>
    <row r="147" spans="1:11" x14ac:dyDescent="0.25">
      <c r="A147" t="s">
        <v>379</v>
      </c>
      <c r="B147" t="s">
        <v>380</v>
      </c>
      <c r="C147" s="30">
        <v>5627.7668480006196</v>
      </c>
      <c r="D147" s="30">
        <v>325.06323595700599</v>
      </c>
      <c r="H147" s="36">
        <f t="shared" si="6"/>
        <v>-46812.051337867866</v>
      </c>
      <c r="I147" s="36">
        <f t="shared" si="7"/>
        <v>-2229.2998087405526</v>
      </c>
      <c r="K147" s="38">
        <f t="shared" si="8"/>
        <v>104358097.09426177</v>
      </c>
    </row>
    <row r="148" spans="1:11" x14ac:dyDescent="0.25">
      <c r="A148" t="s">
        <v>381</v>
      </c>
      <c r="B148" t="s">
        <v>382</v>
      </c>
      <c r="C148" s="30">
        <v>121239.36194454999</v>
      </c>
      <c r="D148" s="30">
        <v>6541.1197536698901</v>
      </c>
      <c r="H148" s="36">
        <f t="shared" si="6"/>
        <v>68799.54375868151</v>
      </c>
      <c r="I148" s="36">
        <f t="shared" si="7"/>
        <v>3986.7567089723316</v>
      </c>
      <c r="K148" s="38">
        <f t="shared" si="8"/>
        <v>274287042.65415901</v>
      </c>
    </row>
    <row r="149" spans="1:11" x14ac:dyDescent="0.25">
      <c r="A149" t="s">
        <v>383</v>
      </c>
      <c r="B149" t="s">
        <v>384</v>
      </c>
      <c r="C149" s="30">
        <v>6877.4159984671596</v>
      </c>
      <c r="D149" s="30">
        <v>888.21597590446697</v>
      </c>
      <c r="H149" s="36">
        <f t="shared" si="6"/>
        <v>-45562.402187401327</v>
      </c>
      <c r="I149" s="36">
        <f t="shared" si="7"/>
        <v>-1666.1470687930914</v>
      </c>
      <c r="K149" s="38">
        <f t="shared" si="8"/>
        <v>75913662.851710662</v>
      </c>
    </row>
    <row r="150" spans="1:11" x14ac:dyDescent="0.25">
      <c r="A150" t="s">
        <v>385</v>
      </c>
      <c r="B150" t="s">
        <v>386</v>
      </c>
      <c r="C150" s="30">
        <v>40791.8856403342</v>
      </c>
      <c r="D150" s="31"/>
      <c r="H150" s="36"/>
      <c r="I150" s="36"/>
      <c r="K150" s="38"/>
    </row>
    <row r="151" spans="1:11" x14ac:dyDescent="0.25">
      <c r="A151" t="s">
        <v>387</v>
      </c>
      <c r="B151" t="s">
        <v>388</v>
      </c>
      <c r="C151" s="30">
        <v>31145.443991860298</v>
      </c>
      <c r="D151" s="30">
        <v>2677.7197282031798</v>
      </c>
      <c r="H151" s="36">
        <f t="shared" si="6"/>
        <v>-21294.374194008185</v>
      </c>
      <c r="I151" s="36">
        <f t="shared" si="7"/>
        <v>123.35668350562128</v>
      </c>
      <c r="K151" s="38">
        <f t="shared" si="8"/>
        <v>-2626803.3779005371</v>
      </c>
    </row>
    <row r="152" spans="1:11" x14ac:dyDescent="0.25">
      <c r="A152" t="s">
        <v>389</v>
      </c>
      <c r="B152" t="s">
        <v>390</v>
      </c>
      <c r="C152" s="30">
        <v>6120.08537813356</v>
      </c>
      <c r="D152" s="30">
        <v>563.68966225939005</v>
      </c>
      <c r="H152" s="36">
        <f t="shared" si="6"/>
        <v>-46319.732807734923</v>
      </c>
      <c r="I152" s="36">
        <f t="shared" si="7"/>
        <v>-1990.6733824381686</v>
      </c>
      <c r="K152" s="38">
        <f t="shared" si="8"/>
        <v>92207459.182005882</v>
      </c>
    </row>
    <row r="153" spans="1:11" x14ac:dyDescent="0.25">
      <c r="A153" t="s">
        <v>391</v>
      </c>
      <c r="B153" t="s">
        <v>392</v>
      </c>
      <c r="C153" s="30">
        <v>2902.7198594118499</v>
      </c>
      <c r="D153" s="30">
        <v>122.486674887402</v>
      </c>
      <c r="H153" s="36">
        <f t="shared" si="6"/>
        <v>-49537.098326456631</v>
      </c>
      <c r="I153" s="36">
        <f t="shared" si="7"/>
        <v>-2431.8763698101566</v>
      </c>
      <c r="K153" s="38">
        <f t="shared" si="8"/>
        <v>120468098.84907213</v>
      </c>
    </row>
    <row r="154" spans="1:11" x14ac:dyDescent="0.25">
      <c r="A154" t="s">
        <v>393</v>
      </c>
      <c r="B154" t="s">
        <v>394</v>
      </c>
      <c r="C154" s="30">
        <v>828.34303718153706</v>
      </c>
      <c r="D154" s="30">
        <v>31.699471018794799</v>
      </c>
      <c r="H154" s="36">
        <f t="shared" si="6"/>
        <v>-51611.47514868695</v>
      </c>
      <c r="I154" s="36">
        <f t="shared" si="7"/>
        <v>-2522.6635736787639</v>
      </c>
      <c r="K154" s="38">
        <f t="shared" si="8"/>
        <v>130198388.34141934</v>
      </c>
    </row>
    <row r="155" spans="1:11" x14ac:dyDescent="0.25">
      <c r="A155" t="s">
        <v>395</v>
      </c>
      <c r="B155" t="s">
        <v>396</v>
      </c>
      <c r="C155" s="30">
        <v>52482.0739374759</v>
      </c>
      <c r="D155" s="30">
        <v>2629.8915751536001</v>
      </c>
      <c r="H155" s="36">
        <f t="shared" si="6"/>
        <v>42.255751607415732</v>
      </c>
      <c r="I155" s="36">
        <f t="shared" si="7"/>
        <v>75.528530456041608</v>
      </c>
      <c r="K155" s="38">
        <f t="shared" si="8"/>
        <v>3191.5148222236285</v>
      </c>
    </row>
    <row r="156" spans="1:11" x14ac:dyDescent="0.25">
      <c r="A156" t="s">
        <v>397</v>
      </c>
      <c r="B156" t="s">
        <v>398</v>
      </c>
      <c r="C156" s="30">
        <v>296085.16024611902</v>
      </c>
      <c r="D156" s="30">
        <v>12931.8584557587</v>
      </c>
      <c r="H156" s="36">
        <f t="shared" si="6"/>
        <v>243645.34206025052</v>
      </c>
      <c r="I156" s="36">
        <f t="shared" si="7"/>
        <v>10377.495411061142</v>
      </c>
      <c r="K156" s="38">
        <f t="shared" si="8"/>
        <v>2528428419.156672</v>
      </c>
    </row>
    <row r="157" spans="1:11" x14ac:dyDescent="0.25">
      <c r="A157" t="s">
        <v>399</v>
      </c>
      <c r="B157" t="s">
        <v>400</v>
      </c>
      <c r="C157" s="30">
        <v>7126.35827789003</v>
      </c>
      <c r="D157" s="30">
        <v>538.32813509834</v>
      </c>
      <c r="H157" s="36">
        <f t="shared" si="6"/>
        <v>-45313.459907978453</v>
      </c>
      <c r="I157" s="36">
        <f t="shared" si="7"/>
        <v>-2016.0349095992185</v>
      </c>
      <c r="K157" s="38">
        <f t="shared" si="8"/>
        <v>91353517.049209148</v>
      </c>
    </row>
    <row r="158" spans="1:11" x14ac:dyDescent="0.25">
      <c r="A158" t="s">
        <v>401</v>
      </c>
      <c r="B158" t="s">
        <v>402</v>
      </c>
      <c r="C158" s="30">
        <v>13073.304992552199</v>
      </c>
      <c r="D158" s="30">
        <v>480.41645835758902</v>
      </c>
      <c r="H158" s="36">
        <f t="shared" si="6"/>
        <v>-39366.513193316285</v>
      </c>
      <c r="I158" s="36">
        <f t="shared" si="7"/>
        <v>-2073.9465863399696</v>
      </c>
      <c r="K158" s="38">
        <f t="shared" si="8"/>
        <v>81644045.653385684</v>
      </c>
    </row>
    <row r="159" spans="1:11" x14ac:dyDescent="0.25">
      <c r="A159" t="s">
        <v>403</v>
      </c>
      <c r="B159" t="s">
        <v>404</v>
      </c>
      <c r="C159" s="30">
        <v>17067.794524586101</v>
      </c>
      <c r="D159" s="30">
        <v>866.76420474872202</v>
      </c>
      <c r="H159" s="36">
        <f t="shared" si="6"/>
        <v>-35372.023661282379</v>
      </c>
      <c r="I159" s="36">
        <f t="shared" si="7"/>
        <v>-1687.5988399488365</v>
      </c>
      <c r="K159" s="38">
        <f t="shared" si="8"/>
        <v>59693786.097422943</v>
      </c>
    </row>
    <row r="160" spans="1:11" x14ac:dyDescent="0.25">
      <c r="A160" t="s">
        <v>405</v>
      </c>
      <c r="B160" t="s">
        <v>406</v>
      </c>
      <c r="C160" s="30">
        <v>8183.6877166540698</v>
      </c>
      <c r="D160" s="30">
        <v>972.575297603134</v>
      </c>
      <c r="H160" s="36">
        <f t="shared" si="6"/>
        <v>-44256.130469214411</v>
      </c>
      <c r="I160" s="36">
        <f t="shared" si="7"/>
        <v>-1581.7877470944245</v>
      </c>
      <c r="K160" s="38">
        <f t="shared" si="8"/>
        <v>70003804.910015583</v>
      </c>
    </row>
    <row r="161" spans="1:11" x14ac:dyDescent="0.25">
      <c r="A161" t="s">
        <v>407</v>
      </c>
      <c r="B161" t="s">
        <v>408</v>
      </c>
      <c r="C161" s="30">
        <v>6947.5793669957902</v>
      </c>
      <c r="D161" s="30">
        <v>250.53995524711499</v>
      </c>
      <c r="H161" s="36">
        <f t="shared" si="6"/>
        <v>-45492.238818872691</v>
      </c>
      <c r="I161" s="36">
        <f t="shared" si="7"/>
        <v>-2303.8230894504436</v>
      </c>
      <c r="K161" s="38">
        <f t="shared" si="8"/>
        <v>104806070.18171269</v>
      </c>
    </row>
    <row r="162" spans="1:11" x14ac:dyDescent="0.25">
      <c r="A162" t="s">
        <v>409</v>
      </c>
      <c r="B162" t="s">
        <v>410</v>
      </c>
      <c r="C162" s="30">
        <v>648.25002854184004</v>
      </c>
      <c r="D162" s="30">
        <v>24.6043576673069</v>
      </c>
      <c r="H162" s="36">
        <f t="shared" si="6"/>
        <v>-51791.568157326641</v>
      </c>
      <c r="I162" s="36">
        <f t="shared" si="7"/>
        <v>-2529.7586870302516</v>
      </c>
      <c r="K162" s="38">
        <f t="shared" si="8"/>
        <v>131020169.46091643</v>
      </c>
    </row>
    <row r="163" spans="1:11" x14ac:dyDescent="0.25">
      <c r="A163" t="s">
        <v>411</v>
      </c>
      <c r="B163" t="s">
        <v>412</v>
      </c>
      <c r="C163" s="30">
        <v>3790.4861576542398</v>
      </c>
      <c r="D163" s="30">
        <v>383.98010954496601</v>
      </c>
      <c r="H163" s="36">
        <f t="shared" si="6"/>
        <v>-48649.332028214245</v>
      </c>
      <c r="I163" s="36">
        <f t="shared" si="7"/>
        <v>-2170.3829351525924</v>
      </c>
      <c r="K163" s="38">
        <f t="shared" si="8"/>
        <v>105587680.04060866</v>
      </c>
    </row>
    <row r="164" spans="1:11" x14ac:dyDescent="0.25">
      <c r="A164" t="s">
        <v>413</v>
      </c>
      <c r="B164" t="s">
        <v>414</v>
      </c>
      <c r="C164" s="30">
        <v>5889.9227111936498</v>
      </c>
      <c r="D164" s="30">
        <v>556.37188160954304</v>
      </c>
      <c r="H164" s="36">
        <f t="shared" si="6"/>
        <v>-46549.895474674835</v>
      </c>
      <c r="I164" s="36">
        <f t="shared" si="7"/>
        <v>-1997.9911630880156</v>
      </c>
      <c r="K164" s="38">
        <f t="shared" si="8"/>
        <v>93006279.801071122</v>
      </c>
    </row>
    <row r="165" spans="1:11" x14ac:dyDescent="0.25">
      <c r="A165" t="s">
        <v>415</v>
      </c>
      <c r="B165" t="s">
        <v>416</v>
      </c>
      <c r="C165" s="30">
        <v>116.304699156328</v>
      </c>
      <c r="D165" s="30">
        <v>8.9152605827963498</v>
      </c>
      <c r="H165" s="36">
        <f t="shared" si="6"/>
        <v>-52323.513486712152</v>
      </c>
      <c r="I165" s="36">
        <f t="shared" si="7"/>
        <v>-2545.4477841147623</v>
      </c>
      <c r="K165" s="38">
        <f t="shared" si="8"/>
        <v>133186771.46185033</v>
      </c>
    </row>
    <row r="166" spans="1:11" x14ac:dyDescent="0.25">
      <c r="A166" t="s">
        <v>417</v>
      </c>
      <c r="B166" t="s">
        <v>418</v>
      </c>
      <c r="C166" s="30">
        <v>7982.0892564558098</v>
      </c>
      <c r="D166" s="30">
        <v>446.590981171843</v>
      </c>
      <c r="H166" s="36">
        <f t="shared" si="6"/>
        <v>-44457.728929412675</v>
      </c>
      <c r="I166" s="36">
        <f t="shared" si="7"/>
        <v>-2107.7720635257156</v>
      </c>
      <c r="K166" s="38">
        <f t="shared" si="8"/>
        <v>93706759.045215055</v>
      </c>
    </row>
    <row r="167" spans="1:11" x14ac:dyDescent="0.25">
      <c r="A167" t="s">
        <v>419</v>
      </c>
      <c r="B167" t="s">
        <v>420</v>
      </c>
      <c r="C167" s="30">
        <v>28333.957563081</v>
      </c>
      <c r="D167" s="30">
        <v>1497.13642942502</v>
      </c>
      <c r="H167" s="36">
        <f t="shared" si="6"/>
        <v>-24105.860622787484</v>
      </c>
      <c r="I167" s="36">
        <f t="shared" si="7"/>
        <v>-1057.2266152725385</v>
      </c>
      <c r="K167" s="38">
        <f t="shared" si="8"/>
        <v>25485357.43446118</v>
      </c>
    </row>
    <row r="168" spans="1:11" x14ac:dyDescent="0.25">
      <c r="A168" t="s">
        <v>421</v>
      </c>
      <c r="B168" t="s">
        <v>422</v>
      </c>
      <c r="C168" s="30">
        <v>4128.7615134338203</v>
      </c>
      <c r="D168" s="30">
        <v>373.90727627102302</v>
      </c>
      <c r="H168" s="36">
        <f t="shared" si="6"/>
        <v>-48311.056672434665</v>
      </c>
      <c r="I168" s="36">
        <f t="shared" si="7"/>
        <v>-2180.4557684265355</v>
      </c>
      <c r="K168" s="38">
        <f t="shared" si="8"/>
        <v>105340122.20019144</v>
      </c>
    </row>
    <row r="169" spans="1:11" x14ac:dyDescent="0.25">
      <c r="A169" t="s">
        <v>423</v>
      </c>
      <c r="B169" t="s">
        <v>424</v>
      </c>
      <c r="C169" s="30">
        <v>144.676449842869</v>
      </c>
      <c r="D169" s="30">
        <v>8.5782257342330706</v>
      </c>
      <c r="H169" s="36">
        <f t="shared" si="6"/>
        <v>-52295.141736025616</v>
      </c>
      <c r="I169" s="36">
        <f t="shared" si="7"/>
        <v>-2545.7848189633255</v>
      </c>
      <c r="K169" s="38">
        <f t="shared" si="8"/>
        <v>133132177.93710943</v>
      </c>
    </row>
    <row r="170" spans="1:11" x14ac:dyDescent="0.25">
      <c r="A170" t="s">
        <v>425</v>
      </c>
      <c r="B170" t="s">
        <v>426</v>
      </c>
      <c r="C170" s="30">
        <v>712.96995501855804</v>
      </c>
      <c r="D170" s="30">
        <v>96.596159928059507</v>
      </c>
      <c r="H170" s="36">
        <f t="shared" si="6"/>
        <v>-51726.848230849922</v>
      </c>
      <c r="I170" s="36">
        <f t="shared" si="7"/>
        <v>-2457.766884769499</v>
      </c>
      <c r="K170" s="38">
        <f t="shared" si="8"/>
        <v>127132534.63528068</v>
      </c>
    </row>
    <row r="171" spans="1:11" x14ac:dyDescent="0.25">
      <c r="A171" t="s">
        <v>427</v>
      </c>
      <c r="B171" t="s">
        <v>428</v>
      </c>
      <c r="C171" s="30">
        <v>13880.17271558</v>
      </c>
      <c r="D171" s="30">
        <v>694.43638601367604</v>
      </c>
      <c r="H171" s="36">
        <f t="shared" si="6"/>
        <v>-38559.64547028848</v>
      </c>
      <c r="I171" s="36">
        <f t="shared" si="7"/>
        <v>-1859.9266586838826</v>
      </c>
      <c r="K171" s="38">
        <f t="shared" si="8"/>
        <v>71718112.55958876</v>
      </c>
    </row>
    <row r="172" spans="1:11" x14ac:dyDescent="0.25">
      <c r="A172" t="s">
        <v>429</v>
      </c>
      <c r="B172" t="s">
        <v>430</v>
      </c>
      <c r="C172" s="30">
        <v>6308.4320453632299</v>
      </c>
      <c r="D172" s="30">
        <v>523.14192398984096</v>
      </c>
      <c r="H172" s="36">
        <f t="shared" si="6"/>
        <v>-46131.386140505252</v>
      </c>
      <c r="I172" s="36">
        <f t="shared" si="7"/>
        <v>-2031.2211207077175</v>
      </c>
      <c r="K172" s="38">
        <f t="shared" si="8"/>
        <v>93703045.856117547</v>
      </c>
    </row>
    <row r="173" spans="1:11" x14ac:dyDescent="0.25">
      <c r="A173" t="s">
        <v>431</v>
      </c>
      <c r="B173" t="s">
        <v>432</v>
      </c>
      <c r="C173" s="30">
        <v>26188.628795694302</v>
      </c>
      <c r="D173" s="30">
        <v>3025.6334244907398</v>
      </c>
      <c r="H173" s="36">
        <f t="shared" si="6"/>
        <v>-26251.189390174182</v>
      </c>
      <c r="I173" s="36">
        <f t="shared" si="7"/>
        <v>471.27037979318129</v>
      </c>
      <c r="K173" s="38">
        <f t="shared" si="8"/>
        <v>-12371407.993930118</v>
      </c>
    </row>
    <row r="174" spans="1:11" x14ac:dyDescent="0.25">
      <c r="A174" t="s">
        <v>433</v>
      </c>
      <c r="B174" t="s">
        <v>434</v>
      </c>
      <c r="C174" s="30">
        <v>975.64812097484605</v>
      </c>
      <c r="D174" s="30">
        <v>74.137825311036394</v>
      </c>
      <c r="H174" s="36">
        <f t="shared" si="6"/>
        <v>-51464.170064893638</v>
      </c>
      <c r="I174" s="36">
        <f t="shared" si="7"/>
        <v>-2480.225219386522</v>
      </c>
      <c r="K174" s="38">
        <f t="shared" si="8"/>
        <v>127642732.48974611</v>
      </c>
    </row>
    <row r="175" spans="1:11" x14ac:dyDescent="0.25">
      <c r="A175" t="s">
        <v>435</v>
      </c>
      <c r="B175" t="s">
        <v>436</v>
      </c>
      <c r="C175" s="30">
        <v>180.86318233930399</v>
      </c>
      <c r="D175" s="30">
        <v>21.4735613686039</v>
      </c>
      <c r="H175" s="36">
        <f t="shared" si="6"/>
        <v>-52258.955003529183</v>
      </c>
      <c r="I175" s="36">
        <f t="shared" si="7"/>
        <v>-2532.8894833289546</v>
      </c>
      <c r="K175" s="38">
        <f t="shared" si="8"/>
        <v>132366157.53820013</v>
      </c>
    </row>
    <row r="176" spans="1:11" x14ac:dyDescent="0.25">
      <c r="A176" t="s">
        <v>437</v>
      </c>
      <c r="B176" t="s">
        <v>438</v>
      </c>
      <c r="C176" s="30">
        <v>8758.0978715991096</v>
      </c>
      <c r="D176" s="30">
        <v>451.59773684033399</v>
      </c>
      <c r="H176" s="36">
        <f t="shared" si="6"/>
        <v>-43681.720314269376</v>
      </c>
      <c r="I176" s="36">
        <f t="shared" si="7"/>
        <v>-2102.7653078572243</v>
      </c>
      <c r="K176" s="38">
        <f t="shared" si="8"/>
        <v>91852406.064367816</v>
      </c>
    </row>
    <row r="177" spans="1:11" x14ac:dyDescent="0.25">
      <c r="A177" t="s">
        <v>439</v>
      </c>
      <c r="B177" t="s">
        <v>440</v>
      </c>
      <c r="C177" s="30">
        <v>6233.1208134381004</v>
      </c>
      <c r="D177" s="30">
        <v>639.00781913793196</v>
      </c>
      <c r="H177" s="36">
        <f t="shared" si="6"/>
        <v>-46206.697372430383</v>
      </c>
      <c r="I177" s="36">
        <f t="shared" si="7"/>
        <v>-1915.3552255596264</v>
      </c>
      <c r="K177" s="38">
        <f t="shared" si="8"/>
        <v>88502239.268136799</v>
      </c>
    </row>
    <row r="178" spans="1:11" x14ac:dyDescent="0.25">
      <c r="A178" t="s">
        <v>441</v>
      </c>
      <c r="B178" t="s">
        <v>442</v>
      </c>
      <c r="C178" s="30">
        <v>3821.7262444008702</v>
      </c>
      <c r="D178" s="30">
        <v>311.93542310603902</v>
      </c>
      <c r="H178" s="36">
        <f t="shared" si="6"/>
        <v>-48618.091941467617</v>
      </c>
      <c r="I178" s="36">
        <f t="shared" si="7"/>
        <v>-2242.4276215915197</v>
      </c>
      <c r="K178" s="38">
        <f t="shared" si="8"/>
        <v>109022552.27862306</v>
      </c>
    </row>
    <row r="179" spans="1:11" x14ac:dyDescent="0.25">
      <c r="A179" t="s">
        <v>443</v>
      </c>
      <c r="B179" t="s">
        <v>444</v>
      </c>
      <c r="C179" s="30">
        <v>115352.595586458</v>
      </c>
      <c r="D179" s="30">
        <v>3567.5789736872698</v>
      </c>
      <c r="H179" s="36">
        <f t="shared" si="6"/>
        <v>62912.777400589519</v>
      </c>
      <c r="I179" s="36">
        <f t="shared" si="7"/>
        <v>1013.2159289897113</v>
      </c>
      <c r="K179" s="38">
        <f t="shared" si="8"/>
        <v>63744228.199261226</v>
      </c>
    </row>
    <row r="180" spans="1:11" x14ac:dyDescent="0.25">
      <c r="A180" t="s">
        <v>445</v>
      </c>
      <c r="B180" t="s">
        <v>446</v>
      </c>
      <c r="C180" s="30">
        <v>5360.6017137598601</v>
      </c>
      <c r="D180" s="30">
        <v>135.57919406447101</v>
      </c>
      <c r="H180" s="36">
        <f t="shared" si="6"/>
        <v>-47079.216472108623</v>
      </c>
      <c r="I180" s="36">
        <f t="shared" si="7"/>
        <v>-2418.7838506330877</v>
      </c>
      <c r="K180" s="38">
        <f t="shared" si="8"/>
        <v>113874448.50319558</v>
      </c>
    </row>
    <row r="181" spans="1:11" x14ac:dyDescent="0.25">
      <c r="A181" t="s">
        <v>447</v>
      </c>
      <c r="B181" t="s">
        <v>448</v>
      </c>
      <c r="C181" s="30">
        <v>3628.65235630078</v>
      </c>
      <c r="D181" s="30">
        <v>104.066490642567</v>
      </c>
      <c r="H181" s="36">
        <f t="shared" si="6"/>
        <v>-48811.165829567704</v>
      </c>
      <c r="I181" s="36">
        <f t="shared" si="7"/>
        <v>-2450.2965540549917</v>
      </c>
      <c r="K181" s="38">
        <f t="shared" si="8"/>
        <v>119601831.4315965</v>
      </c>
    </row>
    <row r="182" spans="1:11" x14ac:dyDescent="0.25">
      <c r="A182" t="s">
        <v>449</v>
      </c>
      <c r="B182" t="s">
        <v>450</v>
      </c>
      <c r="C182" s="30">
        <v>822.15935374213404</v>
      </c>
      <c r="D182" s="30">
        <v>46.726509679076003</v>
      </c>
      <c r="H182" s="36">
        <f t="shared" si="6"/>
        <v>-51617.658832126348</v>
      </c>
      <c r="I182" s="36">
        <f t="shared" si="7"/>
        <v>-2507.6365350184824</v>
      </c>
      <c r="K182" s="38">
        <f t="shared" si="8"/>
        <v>129438327.13955948</v>
      </c>
    </row>
    <row r="183" spans="1:11" x14ac:dyDescent="0.25">
      <c r="A183" t="s">
        <v>451</v>
      </c>
      <c r="B183" t="s">
        <v>452</v>
      </c>
      <c r="C183" s="30">
        <v>126.68426851619699</v>
      </c>
      <c r="D183" s="30">
        <v>10.7224371621956</v>
      </c>
      <c r="H183" s="36">
        <f t="shared" si="6"/>
        <v>-52313.133917352287</v>
      </c>
      <c r="I183" s="36">
        <f t="shared" si="7"/>
        <v>-2543.640607535363</v>
      </c>
      <c r="K183" s="38">
        <f t="shared" si="8"/>
        <v>133065811.73961277</v>
      </c>
    </row>
    <row r="184" spans="1:11" x14ac:dyDescent="0.25">
      <c r="A184" t="s">
        <v>453</v>
      </c>
      <c r="B184" t="s">
        <v>454</v>
      </c>
      <c r="C184" s="30">
        <v>2002.81426663976</v>
      </c>
      <c r="D184" s="30">
        <v>404.49507249478802</v>
      </c>
      <c r="H184" s="36">
        <f t="shared" si="6"/>
        <v>-50437.003919228722</v>
      </c>
      <c r="I184" s="36">
        <f t="shared" si="7"/>
        <v>-2149.8679722027705</v>
      </c>
      <c r="K184" s="38">
        <f t="shared" si="8"/>
        <v>108432899.33981544</v>
      </c>
    </row>
    <row r="185" spans="1:11" x14ac:dyDescent="0.25">
      <c r="A185" t="s">
        <v>455</v>
      </c>
      <c r="B185" t="s">
        <v>456</v>
      </c>
      <c r="C185" s="30">
        <v>10085.635310713</v>
      </c>
      <c r="D185" s="30">
        <v>462.73312507048399</v>
      </c>
      <c r="H185" s="36">
        <f t="shared" si="6"/>
        <v>-42354.182875155486</v>
      </c>
      <c r="I185" s="36">
        <f t="shared" si="7"/>
        <v>-2091.6299196270747</v>
      </c>
      <c r="K185" s="38">
        <f t="shared" si="8"/>
        <v>88589276.123031899</v>
      </c>
    </row>
    <row r="186" spans="1:11" x14ac:dyDescent="0.25">
      <c r="A186" t="s">
        <v>457</v>
      </c>
      <c r="B186" t="s">
        <v>458</v>
      </c>
      <c r="C186" s="30">
        <v>104075.19832607001</v>
      </c>
      <c r="D186" s="30">
        <v>5185.3187225927304</v>
      </c>
      <c r="H186" s="36">
        <f t="shared" si="6"/>
        <v>51635.380140201523</v>
      </c>
      <c r="I186" s="36">
        <f t="shared" si="7"/>
        <v>2630.9556778951719</v>
      </c>
      <c r="K186" s="38">
        <f t="shared" si="8"/>
        <v>135850396.56013879</v>
      </c>
    </row>
    <row r="187" spans="1:11" x14ac:dyDescent="0.25">
      <c r="A187" t="s">
        <v>459</v>
      </c>
      <c r="B187" t="s">
        <v>460</v>
      </c>
      <c r="C187" s="30">
        <v>56742.424150401697</v>
      </c>
      <c r="D187" s="30">
        <v>1964.08543592967</v>
      </c>
      <c r="H187" s="36">
        <f t="shared" si="6"/>
        <v>4302.6059645332134</v>
      </c>
      <c r="I187" s="36">
        <f t="shared" si="7"/>
        <v>-590.27760876788852</v>
      </c>
      <c r="K187" s="38">
        <f t="shared" si="8"/>
        <v>-2539731.9602151196</v>
      </c>
    </row>
    <row r="188" spans="1:11" x14ac:dyDescent="0.25">
      <c r="A188" t="s">
        <v>461</v>
      </c>
      <c r="B188" t="s">
        <v>462</v>
      </c>
      <c r="C188" s="30">
        <v>31337.2211565744</v>
      </c>
      <c r="D188" s="30">
        <v>2753.9309270239801</v>
      </c>
      <c r="H188" s="36">
        <f t="shared" si="6"/>
        <v>-21102.597029294084</v>
      </c>
      <c r="I188" s="36">
        <f t="shared" si="7"/>
        <v>199.56788232642157</v>
      </c>
      <c r="K188" s="38">
        <f t="shared" si="8"/>
        <v>-4211400.6007240554</v>
      </c>
    </row>
    <row r="189" spans="1:11" x14ac:dyDescent="0.25">
      <c r="A189" t="s">
        <v>463</v>
      </c>
      <c r="B189" t="s">
        <v>464</v>
      </c>
      <c r="C189" s="30">
        <v>21608.891448420301</v>
      </c>
      <c r="D189" s="30">
        <v>2454.9682917898999</v>
      </c>
      <c r="H189" s="36">
        <f t="shared" si="6"/>
        <v>-30830.926737448182</v>
      </c>
      <c r="I189" s="36">
        <f t="shared" si="7"/>
        <v>-99.394752907658585</v>
      </c>
      <c r="K189" s="38">
        <f t="shared" si="8"/>
        <v>3064432.3449827866</v>
      </c>
    </row>
    <row r="190" spans="1:11" x14ac:dyDescent="0.25">
      <c r="A190" t="s">
        <v>465</v>
      </c>
      <c r="B190" t="s">
        <v>466</v>
      </c>
      <c r="C190" s="30">
        <v>99052.960653552</v>
      </c>
      <c r="D190" s="30">
        <v>4948.1519587667699</v>
      </c>
      <c r="H190" s="36">
        <f t="shared" si="6"/>
        <v>46613.142467683516</v>
      </c>
      <c r="I190" s="36">
        <f t="shared" si="7"/>
        <v>2393.7889140692114</v>
      </c>
      <c r="K190" s="38">
        <f t="shared" si="8"/>
        <v>111582023.68906957</v>
      </c>
    </row>
    <row r="191" spans="1:11" x14ac:dyDescent="0.25">
      <c r="A191" t="s">
        <v>467</v>
      </c>
      <c r="B191" t="s">
        <v>468</v>
      </c>
      <c r="C191" s="30">
        <v>10017.1340957023</v>
      </c>
      <c r="D191" s="30">
        <v>842.87199338760604</v>
      </c>
      <c r="H191" s="36">
        <f t="shared" si="6"/>
        <v>-42422.684090166185</v>
      </c>
      <c r="I191" s="36">
        <f t="shared" si="7"/>
        <v>-1711.4910513099526</v>
      </c>
      <c r="K191" s="38">
        <f t="shared" si="8"/>
        <v>72606044.192868531</v>
      </c>
    </row>
    <row r="192" spans="1:11" x14ac:dyDescent="0.25">
      <c r="A192" t="s">
        <v>469</v>
      </c>
      <c r="B192" t="s">
        <v>470</v>
      </c>
      <c r="C192" s="30">
        <v>763146.23482239398</v>
      </c>
      <c r="D192" s="30">
        <v>48323.441136884903</v>
      </c>
      <c r="H192" s="36">
        <f t="shared" si="6"/>
        <v>710706.41663652554</v>
      </c>
      <c r="I192" s="36">
        <f t="shared" si="7"/>
        <v>45769.078092187345</v>
      </c>
      <c r="K192" s="38">
        <f t="shared" si="8"/>
        <v>32528377483.655773</v>
      </c>
    </row>
    <row r="193" spans="1:11" x14ac:dyDescent="0.25">
      <c r="A193" t="s">
        <v>471</v>
      </c>
      <c r="B193" t="s">
        <v>472</v>
      </c>
      <c r="C193" s="30">
        <v>22304.9780568274</v>
      </c>
      <c r="D193" s="30">
        <v>410.61295790657698</v>
      </c>
      <c r="H193" s="36">
        <f t="shared" si="6"/>
        <v>-30134.840129041084</v>
      </c>
      <c r="I193" s="36">
        <f t="shared" si="7"/>
        <v>-2143.7500867909816</v>
      </c>
      <c r="K193" s="38">
        <f t="shared" si="8"/>
        <v>64601566.142064176</v>
      </c>
    </row>
    <row r="194" spans="1:11" x14ac:dyDescent="0.25">
      <c r="A194" t="s">
        <v>473</v>
      </c>
      <c r="B194" t="s">
        <v>474</v>
      </c>
      <c r="C194" s="30">
        <v>206.42668892345901</v>
      </c>
      <c r="D194" s="30">
        <v>47.925433604743503</v>
      </c>
      <c r="H194" s="36">
        <f t="shared" si="6"/>
        <v>-52233.391496945027</v>
      </c>
      <c r="I194" s="36">
        <f t="shared" si="7"/>
        <v>-2506.4376110928151</v>
      </c>
      <c r="K194" s="38">
        <f t="shared" si="8"/>
        <v>130919737.00287865</v>
      </c>
    </row>
    <row r="195" spans="1:11" x14ac:dyDescent="0.25">
      <c r="A195" t="s">
        <v>475</v>
      </c>
      <c r="B195" t="s">
        <v>476</v>
      </c>
      <c r="C195" s="30">
        <v>34499.8099228887</v>
      </c>
      <c r="D195" s="30">
        <v>4091.0227984866001</v>
      </c>
      <c r="H195" s="36">
        <f t="shared" si="6"/>
        <v>-17940.008262979783</v>
      </c>
      <c r="I195" s="36">
        <f t="shared" si="7"/>
        <v>1536.6597537890416</v>
      </c>
      <c r="K195" s="38">
        <f t="shared" si="8"/>
        <v>-27567688.680363886</v>
      </c>
    </row>
    <row r="196" spans="1:11" x14ac:dyDescent="0.25">
      <c r="A196" t="s">
        <v>477</v>
      </c>
      <c r="B196" t="s">
        <v>478</v>
      </c>
      <c r="C196" s="30">
        <v>112271.02173162901</v>
      </c>
      <c r="D196" s="30">
        <v>2909.9287300608398</v>
      </c>
      <c r="H196" s="36">
        <f t="shared" si="6"/>
        <v>59831.203545760523</v>
      </c>
      <c r="I196" s="36">
        <f t="shared" si="7"/>
        <v>355.56568536328132</v>
      </c>
      <c r="K196" s="38">
        <f t="shared" si="8"/>
        <v>21273922.894858327</v>
      </c>
    </row>
    <row r="197" spans="1:11" x14ac:dyDescent="0.25">
      <c r="A197" t="s">
        <v>479</v>
      </c>
      <c r="B197" t="s">
        <v>480</v>
      </c>
      <c r="C197" s="30">
        <v>224.72169721485099</v>
      </c>
      <c r="D197" s="30">
        <v>17.591915550579401</v>
      </c>
      <c r="H197" s="36">
        <f t="shared" si="6"/>
        <v>-52215.096488653631</v>
      </c>
      <c r="I197" s="36">
        <f t="shared" si="7"/>
        <v>-2536.7711291469791</v>
      </c>
      <c r="K197" s="38">
        <f t="shared" si="8"/>
        <v>132457749.27804033</v>
      </c>
    </row>
    <row r="198" spans="1:11" x14ac:dyDescent="0.25">
      <c r="A198" t="s">
        <v>481</v>
      </c>
      <c r="B198" t="s">
        <v>482</v>
      </c>
      <c r="C198" s="30">
        <v>12660.2495513799</v>
      </c>
      <c r="D198" s="30">
        <v>538.04459447826298</v>
      </c>
      <c r="H198" s="36">
        <f t="shared" si="6"/>
        <v>-39779.568634488583</v>
      </c>
      <c r="I198" s="36">
        <f t="shared" si="7"/>
        <v>-2016.3184502192955</v>
      </c>
      <c r="K198" s="38">
        <f t="shared" si="8"/>
        <v>80208278.179484114</v>
      </c>
    </row>
    <row r="199" spans="1:11" x14ac:dyDescent="0.25">
      <c r="A199" t="s">
        <v>483</v>
      </c>
      <c r="B199" t="s">
        <v>484</v>
      </c>
      <c r="C199" s="30">
        <v>54573.5869925484</v>
      </c>
      <c r="D199" s="30">
        <v>5556.2775276645398</v>
      </c>
      <c r="H199" s="36">
        <f t="shared" si="6"/>
        <v>2133.7688066799165</v>
      </c>
      <c r="I199" s="36">
        <f t="shared" si="7"/>
        <v>3001.9144829669813</v>
      </c>
      <c r="K199" s="38">
        <f t="shared" si="8"/>
        <v>6405391.4840756143</v>
      </c>
    </row>
    <row r="200" spans="1:11" x14ac:dyDescent="0.25">
      <c r="A200" t="s">
        <v>485</v>
      </c>
      <c r="B200" t="s">
        <v>486</v>
      </c>
      <c r="C200" s="30">
        <v>9767.5175758834794</v>
      </c>
      <c r="D200" s="30">
        <v>702.10467087639699</v>
      </c>
      <c r="H200" s="36">
        <f t="shared" si="6"/>
        <v>-42672.300609985003</v>
      </c>
      <c r="I200" s="36">
        <f t="shared" si="7"/>
        <v>-1852.2583738211615</v>
      </c>
      <c r="K200" s="38">
        <f t="shared" si="8"/>
        <v>79040126.135058582</v>
      </c>
    </row>
    <row r="201" spans="1:11" x14ac:dyDescent="0.25">
      <c r="A201" t="s">
        <v>487</v>
      </c>
      <c r="B201" t="s">
        <v>488</v>
      </c>
      <c r="C201" s="30">
        <v>12314.563595838301</v>
      </c>
      <c r="D201" s="30">
        <v>1211.11496567266</v>
      </c>
      <c r="H201" s="36">
        <f t="shared" si="6"/>
        <v>-40125.254590030185</v>
      </c>
      <c r="I201" s="36">
        <f t="shared" si="7"/>
        <v>-1343.2480790248985</v>
      </c>
      <c r="K201" s="38">
        <f t="shared" si="8"/>
        <v>53898171.148443036</v>
      </c>
    </row>
  </sheetData>
  <mergeCells count="3">
    <mergeCell ref="H9:I9"/>
    <mergeCell ref="O10:R10"/>
    <mergeCell ref="O11:R11"/>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39942-9A86-49ED-8090-0E6D7BE4FF48}">
  <dimension ref="A1:F201"/>
  <sheetViews>
    <sheetView topLeftCell="A195" workbookViewId="0">
      <selection activeCell="O23" sqref="O23"/>
    </sheetView>
  </sheetViews>
  <sheetFormatPr baseColWidth="10" defaultRowHeight="12.6" x14ac:dyDescent="0.25"/>
  <cols>
    <col min="2" max="2" width="31.33203125" customWidth="1"/>
  </cols>
  <sheetData>
    <row r="1" spans="1:4" ht="17.399999999999999" x14ac:dyDescent="0.3">
      <c r="A1" s="4" t="s">
        <v>97</v>
      </c>
    </row>
    <row r="2" spans="1:4" ht="15.6" x14ac:dyDescent="0.3">
      <c r="A2" s="28" t="s">
        <v>98</v>
      </c>
    </row>
    <row r="4" spans="1:4" x14ac:dyDescent="0.25">
      <c r="A4" t="s">
        <v>99</v>
      </c>
      <c r="B4" t="s">
        <v>100</v>
      </c>
    </row>
    <row r="5" spans="1:4" x14ac:dyDescent="0.25">
      <c r="A5" t="s">
        <v>101</v>
      </c>
      <c r="B5" t="s">
        <v>102</v>
      </c>
    </row>
    <row r="6" spans="1:4" x14ac:dyDescent="0.25">
      <c r="A6" t="s">
        <v>103</v>
      </c>
      <c r="B6" t="s">
        <v>104</v>
      </c>
    </row>
    <row r="7" spans="1:4" x14ac:dyDescent="0.25">
      <c r="A7" s="29" t="s">
        <v>105</v>
      </c>
    </row>
    <row r="10" spans="1:4" x14ac:dyDescent="0.25">
      <c r="A10" s="29" t="s">
        <v>99</v>
      </c>
      <c r="B10" s="29" t="s">
        <v>106</v>
      </c>
      <c r="C10" s="29" t="s">
        <v>101</v>
      </c>
      <c r="D10" s="29" t="s">
        <v>103</v>
      </c>
    </row>
    <row r="11" spans="1:4" x14ac:dyDescent="0.25">
      <c r="A11" t="s">
        <v>107</v>
      </c>
      <c r="B11" t="s">
        <v>108</v>
      </c>
      <c r="C11" s="30">
        <v>21223.554931236798</v>
      </c>
      <c r="D11" s="30">
        <v>505.17652371630498</v>
      </c>
    </row>
    <row r="12" spans="1:4" x14ac:dyDescent="0.25">
      <c r="A12" t="s">
        <v>109</v>
      </c>
      <c r="B12" t="s">
        <v>110</v>
      </c>
      <c r="C12" s="30">
        <v>12756.0022394323</v>
      </c>
      <c r="D12" s="30">
        <v>910.43033304833898</v>
      </c>
    </row>
    <row r="13" spans="1:4" x14ac:dyDescent="0.25">
      <c r="A13" t="s">
        <v>111</v>
      </c>
      <c r="B13" t="s">
        <v>112</v>
      </c>
      <c r="C13" s="30">
        <v>4688.5100336567903</v>
      </c>
      <c r="D13" s="30">
        <v>386.75371667154099</v>
      </c>
    </row>
    <row r="14" spans="1:4" x14ac:dyDescent="0.25">
      <c r="A14" t="s">
        <v>113</v>
      </c>
      <c r="B14" t="s">
        <v>114</v>
      </c>
      <c r="C14" s="30">
        <v>227.35372064325699</v>
      </c>
      <c r="D14" s="30">
        <v>14.6737928461301</v>
      </c>
    </row>
    <row r="15" spans="1:4" x14ac:dyDescent="0.25">
      <c r="A15" t="s">
        <v>115</v>
      </c>
      <c r="B15" t="s">
        <v>116</v>
      </c>
      <c r="C15" s="30">
        <v>5458.0944281426</v>
      </c>
      <c r="D15" s="30">
        <v>126.674101015093</v>
      </c>
    </row>
    <row r="16" spans="1:4" x14ac:dyDescent="0.25">
      <c r="A16" t="s">
        <v>117</v>
      </c>
      <c r="B16" t="s">
        <v>118</v>
      </c>
      <c r="C16" s="30">
        <v>84669.003902997807</v>
      </c>
      <c r="D16" s="30">
        <v>6372.1748897157304</v>
      </c>
    </row>
    <row r="17" spans="1:4" x14ac:dyDescent="0.25">
      <c r="A17" t="s">
        <v>119</v>
      </c>
      <c r="B17" t="s">
        <v>120</v>
      </c>
      <c r="C17" s="30">
        <v>5827.5125193090998</v>
      </c>
      <c r="D17" s="30">
        <v>284.810310479755</v>
      </c>
    </row>
    <row r="18" spans="1:4" x14ac:dyDescent="0.25">
      <c r="A18" t="s">
        <v>121</v>
      </c>
      <c r="B18" t="s">
        <v>122</v>
      </c>
      <c r="C18" s="30">
        <v>137.32379831447301</v>
      </c>
      <c r="D18" s="30">
        <v>30.9823512810332</v>
      </c>
    </row>
    <row r="19" spans="1:4" x14ac:dyDescent="0.25">
      <c r="A19" t="s">
        <v>123</v>
      </c>
      <c r="B19" t="s">
        <v>124</v>
      </c>
      <c r="C19" s="30">
        <v>52826.178880462801</v>
      </c>
      <c r="D19" s="30">
        <v>4539.2850214738401</v>
      </c>
    </row>
    <row r="20" spans="1:4" x14ac:dyDescent="0.25">
      <c r="A20" t="s">
        <v>125</v>
      </c>
      <c r="B20" t="s">
        <v>126</v>
      </c>
      <c r="C20" s="30">
        <v>21920.3933478371</v>
      </c>
      <c r="D20" s="30">
        <v>1693.07495840925</v>
      </c>
    </row>
    <row r="21" spans="1:4" x14ac:dyDescent="0.25">
      <c r="A21" t="s">
        <v>127</v>
      </c>
      <c r="B21" t="s">
        <v>128</v>
      </c>
      <c r="C21" s="30">
        <v>11895.287049430401</v>
      </c>
      <c r="D21" s="30">
        <v>405.27534259762598</v>
      </c>
    </row>
    <row r="22" spans="1:4" x14ac:dyDescent="0.25">
      <c r="A22" t="s">
        <v>129</v>
      </c>
      <c r="B22" t="s">
        <v>130</v>
      </c>
      <c r="C22" s="30">
        <v>5264.7462096997797</v>
      </c>
      <c r="D22" s="30">
        <v>422.65744934338898</v>
      </c>
    </row>
    <row r="23" spans="1:4" x14ac:dyDescent="0.25">
      <c r="A23" t="s">
        <v>131</v>
      </c>
      <c r="B23" t="s">
        <v>132</v>
      </c>
      <c r="C23" s="30">
        <v>33502.707543509503</v>
      </c>
      <c r="D23" s="30">
        <v>2532.7298221246301</v>
      </c>
    </row>
    <row r="24" spans="1:4" x14ac:dyDescent="0.25">
      <c r="A24" t="s">
        <v>133</v>
      </c>
      <c r="B24" t="s">
        <v>134</v>
      </c>
      <c r="C24" s="30">
        <v>5230.7376415282097</v>
      </c>
      <c r="D24" s="30">
        <v>501.45681173603498</v>
      </c>
    </row>
    <row r="25" spans="1:4" x14ac:dyDescent="0.25">
      <c r="A25" t="s">
        <v>135</v>
      </c>
      <c r="B25" t="s">
        <v>136</v>
      </c>
      <c r="C25" s="30">
        <v>10097.7648200812</v>
      </c>
      <c r="D25" s="30">
        <v>870.36589778621601</v>
      </c>
    </row>
    <row r="26" spans="1:4" x14ac:dyDescent="0.25">
      <c r="A26" t="s">
        <v>137</v>
      </c>
      <c r="B26" t="s">
        <v>138</v>
      </c>
      <c r="C26" s="30">
        <v>105848.175349777</v>
      </c>
      <c r="D26" s="30">
        <v>4430.4182676628698</v>
      </c>
    </row>
    <row r="27" spans="1:4" x14ac:dyDescent="0.25">
      <c r="A27" t="s">
        <v>139</v>
      </c>
      <c r="B27" t="s">
        <v>140</v>
      </c>
      <c r="C27" s="30">
        <v>21974.080056639301</v>
      </c>
      <c r="D27" s="30">
        <v>1332.0178101301501</v>
      </c>
    </row>
    <row r="28" spans="1:4" x14ac:dyDescent="0.25">
      <c r="A28" t="s">
        <v>141</v>
      </c>
      <c r="B28" t="s">
        <v>142</v>
      </c>
      <c r="C28" s="30">
        <v>811.99387042185003</v>
      </c>
      <c r="D28" s="30">
        <v>36.309474340325004</v>
      </c>
    </row>
    <row r="29" spans="1:4" x14ac:dyDescent="0.25">
      <c r="A29" t="s">
        <v>143</v>
      </c>
      <c r="B29" t="s">
        <v>144</v>
      </c>
      <c r="C29" s="30">
        <v>576.97280519833396</v>
      </c>
      <c r="D29" s="30">
        <v>99.111681179182995</v>
      </c>
    </row>
    <row r="30" spans="1:4" x14ac:dyDescent="0.25">
      <c r="A30" t="s">
        <v>145</v>
      </c>
      <c r="B30" t="s">
        <v>146</v>
      </c>
      <c r="C30" s="30">
        <v>9460.1407673103804</v>
      </c>
      <c r="D30" s="30">
        <v>463.99604866476898</v>
      </c>
    </row>
    <row r="31" spans="1:4" x14ac:dyDescent="0.25">
      <c r="A31" t="s">
        <v>147</v>
      </c>
      <c r="B31" t="s">
        <v>148</v>
      </c>
      <c r="C31" s="30">
        <v>19614.034606236</v>
      </c>
      <c r="D31" s="30">
        <v>1042.04408231774</v>
      </c>
    </row>
    <row r="32" spans="1:4" x14ac:dyDescent="0.25">
      <c r="A32" t="s">
        <v>149</v>
      </c>
      <c r="B32" t="s">
        <v>150</v>
      </c>
      <c r="C32" s="30">
        <v>298.462478511065</v>
      </c>
      <c r="D32" s="30">
        <v>45.334341037760801</v>
      </c>
    </row>
    <row r="33" spans="1:4" x14ac:dyDescent="0.25">
      <c r="A33" t="s">
        <v>151</v>
      </c>
      <c r="B33" t="s">
        <v>152</v>
      </c>
      <c r="C33" s="30">
        <v>14001.154012700399</v>
      </c>
      <c r="D33" s="30">
        <v>1296.8422350015401</v>
      </c>
    </row>
    <row r="34" spans="1:4" x14ac:dyDescent="0.25">
      <c r="A34" t="s">
        <v>153</v>
      </c>
      <c r="B34" t="s">
        <v>154</v>
      </c>
      <c r="C34" s="30">
        <v>264602.60802118102</v>
      </c>
      <c r="D34" s="30">
        <v>23340.873493632102</v>
      </c>
    </row>
    <row r="35" spans="1:4" x14ac:dyDescent="0.25">
      <c r="A35" t="s">
        <v>155</v>
      </c>
      <c r="B35" t="s">
        <v>156</v>
      </c>
      <c r="C35" s="30">
        <v>822.32159718917603</v>
      </c>
      <c r="D35" s="30">
        <v>174.687599588854</v>
      </c>
    </row>
    <row r="36" spans="1:4" x14ac:dyDescent="0.25">
      <c r="A36" t="s">
        <v>157</v>
      </c>
      <c r="B36" t="s">
        <v>158</v>
      </c>
      <c r="C36" s="30">
        <v>523.91798779353599</v>
      </c>
      <c r="D36" s="30">
        <v>13.336508862101599</v>
      </c>
    </row>
    <row r="37" spans="1:4" x14ac:dyDescent="0.25">
      <c r="A37" t="s">
        <v>159</v>
      </c>
      <c r="B37" t="s">
        <v>160</v>
      </c>
      <c r="C37" s="30">
        <v>472.275295798473</v>
      </c>
      <c r="D37" s="30">
        <v>23.205078841098601</v>
      </c>
    </row>
    <row r="38" spans="1:4" x14ac:dyDescent="0.25">
      <c r="A38" t="s">
        <v>161</v>
      </c>
      <c r="B38" t="s">
        <v>162</v>
      </c>
      <c r="C38" s="30">
        <v>2067.5218055482701</v>
      </c>
      <c r="D38" s="30">
        <v>193.156267107453</v>
      </c>
    </row>
    <row r="39" spans="1:4" x14ac:dyDescent="0.25">
      <c r="A39" t="s">
        <v>163</v>
      </c>
      <c r="B39" t="s">
        <v>164</v>
      </c>
      <c r="C39" s="30">
        <v>2652.4004140150801</v>
      </c>
      <c r="D39" s="30">
        <v>147.53043634543599</v>
      </c>
    </row>
    <row r="40" spans="1:4" x14ac:dyDescent="0.25">
      <c r="A40" t="s">
        <v>165</v>
      </c>
      <c r="B40" t="s">
        <v>166</v>
      </c>
      <c r="C40" s="30">
        <v>91934.890905833105</v>
      </c>
      <c r="D40" s="30">
        <v>6523.06951032705</v>
      </c>
    </row>
    <row r="41" spans="1:4" x14ac:dyDescent="0.25">
      <c r="A41" t="s">
        <v>167</v>
      </c>
      <c r="B41" t="s">
        <v>168</v>
      </c>
      <c r="C41" s="30">
        <v>19971.3431836091</v>
      </c>
      <c r="D41" s="30">
        <v>1912.2750785298699</v>
      </c>
    </row>
    <row r="42" spans="1:4" x14ac:dyDescent="0.25">
      <c r="A42" t="s">
        <v>169</v>
      </c>
      <c r="B42" t="s">
        <v>170</v>
      </c>
      <c r="C42" s="30">
        <v>31366.0768440301</v>
      </c>
      <c r="D42" s="30">
        <v>2888.3421546527002</v>
      </c>
    </row>
    <row r="43" spans="1:4" x14ac:dyDescent="0.25">
      <c r="A43" t="s">
        <v>171</v>
      </c>
      <c r="B43" t="s">
        <v>172</v>
      </c>
      <c r="C43" s="30"/>
      <c r="D43" s="30">
        <v>54390.875089943504</v>
      </c>
    </row>
    <row r="44" spans="1:4" x14ac:dyDescent="0.25">
      <c r="A44" t="s">
        <v>173</v>
      </c>
      <c r="B44" t="s">
        <v>174</v>
      </c>
      <c r="C44" s="30">
        <v>11552.209012773499</v>
      </c>
      <c r="D44" s="30">
        <v>1099.90436693216</v>
      </c>
    </row>
    <row r="45" spans="1:4" x14ac:dyDescent="0.25">
      <c r="A45" t="s">
        <v>175</v>
      </c>
      <c r="B45" t="s">
        <v>176</v>
      </c>
      <c r="C45" s="30">
        <v>14211.264528731501</v>
      </c>
      <c r="D45" s="30">
        <v>1378.96624912372</v>
      </c>
    </row>
    <row r="46" spans="1:4" x14ac:dyDescent="0.25">
      <c r="A46" t="s">
        <v>177</v>
      </c>
      <c r="B46" t="s">
        <v>178</v>
      </c>
      <c r="C46" s="30">
        <v>36789.206365169499</v>
      </c>
      <c r="D46" s="30">
        <v>2573.5685227491699</v>
      </c>
    </row>
    <row r="47" spans="1:4" x14ac:dyDescent="0.25">
      <c r="A47" t="s">
        <v>179</v>
      </c>
      <c r="B47" t="s">
        <v>180</v>
      </c>
      <c r="C47" s="30">
        <v>3354.0906170102799</v>
      </c>
      <c r="D47" s="30">
        <v>249.25729526765301</v>
      </c>
    </row>
    <row r="48" spans="1:4" x14ac:dyDescent="0.25">
      <c r="A48" t="s">
        <v>181</v>
      </c>
      <c r="B48" t="s">
        <v>182</v>
      </c>
      <c r="C48" s="30">
        <v>49041.062056724702</v>
      </c>
      <c r="D48" s="30">
        <v>4459.8895407192504</v>
      </c>
    </row>
    <row r="49" spans="1:4" x14ac:dyDescent="0.25">
      <c r="A49" t="s">
        <v>183</v>
      </c>
      <c r="B49" t="s">
        <v>184</v>
      </c>
      <c r="C49" s="30">
        <v>543.10074216567205</v>
      </c>
      <c r="D49" s="30">
        <v>52.807487824087197</v>
      </c>
    </row>
    <row r="50" spans="1:4" x14ac:dyDescent="0.25">
      <c r="A50" t="s">
        <v>185</v>
      </c>
      <c r="B50" t="s">
        <v>186</v>
      </c>
      <c r="C50" s="30">
        <v>715.06120134992796</v>
      </c>
      <c r="D50" s="30">
        <v>106.620824551841</v>
      </c>
    </row>
    <row r="51" spans="1:4" x14ac:dyDescent="0.25">
      <c r="A51" t="s">
        <v>187</v>
      </c>
      <c r="B51" t="s">
        <v>188</v>
      </c>
      <c r="C51" s="30">
        <v>6002.0878066715304</v>
      </c>
      <c r="D51" s="30">
        <v>570.18360990437395</v>
      </c>
    </row>
    <row r="52" spans="1:4" x14ac:dyDescent="0.25">
      <c r="A52" t="s">
        <v>189</v>
      </c>
      <c r="B52" t="s">
        <v>190</v>
      </c>
      <c r="C52" s="30">
        <v>27726.162570262499</v>
      </c>
      <c r="D52" s="30">
        <v>3396.7453691979499</v>
      </c>
    </row>
    <row r="53" spans="1:4" x14ac:dyDescent="0.25">
      <c r="A53" t="s">
        <v>191</v>
      </c>
      <c r="B53" t="s">
        <v>192</v>
      </c>
      <c r="C53" s="30">
        <v>2267.5515939662801</v>
      </c>
      <c r="D53" s="30">
        <v>186.33245510144201</v>
      </c>
    </row>
    <row r="54" spans="1:4" x14ac:dyDescent="0.25">
      <c r="A54" t="s">
        <v>193</v>
      </c>
      <c r="B54" t="s">
        <v>194</v>
      </c>
      <c r="C54" s="30">
        <v>30472.286197695299</v>
      </c>
      <c r="D54" s="30">
        <v>1888.9079814701799</v>
      </c>
    </row>
    <row r="55" spans="1:4" x14ac:dyDescent="0.25">
      <c r="A55" t="s">
        <v>195</v>
      </c>
      <c r="B55" t="s">
        <v>196</v>
      </c>
      <c r="C55" s="30">
        <v>270525.455713187</v>
      </c>
      <c r="D55" s="30">
        <v>20146.0984868249</v>
      </c>
    </row>
    <row r="56" spans="1:4" x14ac:dyDescent="0.25">
      <c r="A56" t="s">
        <v>197</v>
      </c>
      <c r="B56" t="s">
        <v>198</v>
      </c>
      <c r="C56" s="30">
        <v>747.77625057515797</v>
      </c>
      <c r="D56" s="30">
        <v>67.539026217961606</v>
      </c>
    </row>
    <row r="57" spans="1:4" x14ac:dyDescent="0.25">
      <c r="A57" t="s">
        <v>199</v>
      </c>
      <c r="B57" t="s">
        <v>200</v>
      </c>
      <c r="C57" s="30">
        <v>180.97203272777</v>
      </c>
      <c r="D57" s="30">
        <v>50.385946478337999</v>
      </c>
    </row>
    <row r="58" spans="1:4" x14ac:dyDescent="0.25">
      <c r="A58" t="s">
        <v>201</v>
      </c>
      <c r="B58" t="s">
        <v>202</v>
      </c>
      <c r="C58" s="30">
        <v>18316.979979182601</v>
      </c>
      <c r="D58" s="30">
        <v>1707.82133803648</v>
      </c>
    </row>
    <row r="59" spans="1:4" x14ac:dyDescent="0.25">
      <c r="A59" t="s">
        <v>203</v>
      </c>
      <c r="B59" t="s">
        <v>204</v>
      </c>
      <c r="C59" s="30">
        <v>10769.5359839045</v>
      </c>
      <c r="D59" s="30">
        <v>1686.5644130042299</v>
      </c>
    </row>
    <row r="60" spans="1:4" x14ac:dyDescent="0.25">
      <c r="A60" t="s">
        <v>205</v>
      </c>
      <c r="B60" t="s">
        <v>206</v>
      </c>
      <c r="C60" s="30">
        <v>23748.518017003102</v>
      </c>
      <c r="D60" s="30">
        <v>1279.89475965422</v>
      </c>
    </row>
    <row r="61" spans="1:4" x14ac:dyDescent="0.25">
      <c r="A61" t="s">
        <v>207</v>
      </c>
      <c r="B61" t="s">
        <v>208</v>
      </c>
      <c r="C61" s="30">
        <v>17552.554804572399</v>
      </c>
      <c r="D61" s="30">
        <v>1678.7307257729201</v>
      </c>
    </row>
    <row r="62" spans="1:4" x14ac:dyDescent="0.25">
      <c r="A62" t="s">
        <v>209</v>
      </c>
      <c r="B62" t="s">
        <v>210</v>
      </c>
      <c r="C62" s="30">
        <v>57810.378531367103</v>
      </c>
      <c r="D62" s="30">
        <v>1807.66637698984</v>
      </c>
    </row>
    <row r="63" spans="1:4" x14ac:dyDescent="0.25">
      <c r="A63" t="s">
        <v>211</v>
      </c>
      <c r="B63" t="s">
        <v>212</v>
      </c>
      <c r="C63" s="30">
        <v>3667.4721765724298</v>
      </c>
      <c r="D63" s="30">
        <v>190.25102118942399</v>
      </c>
    </row>
    <row r="64" spans="1:4" x14ac:dyDescent="0.25">
      <c r="A64" t="s">
        <v>213</v>
      </c>
      <c r="B64" t="s">
        <v>214</v>
      </c>
      <c r="C64" s="30">
        <v>123705.218137552</v>
      </c>
      <c r="D64" s="30">
        <v>8405.84165336755</v>
      </c>
    </row>
    <row r="65" spans="1:4" x14ac:dyDescent="0.25">
      <c r="A65" t="s">
        <v>215</v>
      </c>
      <c r="B65" t="s">
        <v>216</v>
      </c>
      <c r="C65" s="30">
        <v>3806.4543923227202</v>
      </c>
      <c r="D65" s="30">
        <v>280.16905741908101</v>
      </c>
    </row>
    <row r="66" spans="1:4" x14ac:dyDescent="0.25">
      <c r="A66" t="s">
        <v>217</v>
      </c>
      <c r="B66" t="s">
        <v>218</v>
      </c>
      <c r="C66" s="30">
        <v>39482.026461003603</v>
      </c>
      <c r="D66" s="30">
        <v>2292.18300331007</v>
      </c>
    </row>
    <row r="67" spans="1:4" x14ac:dyDescent="0.25">
      <c r="A67" t="s">
        <v>219</v>
      </c>
      <c r="B67" t="s">
        <v>220</v>
      </c>
      <c r="C67" s="30">
        <v>14337.094557842</v>
      </c>
      <c r="D67" s="30">
        <v>1293.76893449261</v>
      </c>
    </row>
    <row r="68" spans="1:4" x14ac:dyDescent="0.25">
      <c r="A68" t="s">
        <v>221</v>
      </c>
      <c r="B68" t="s">
        <v>222</v>
      </c>
      <c r="C68" s="30">
        <v>806.35077182899704</v>
      </c>
      <c r="D68" s="30">
        <v>50.457348704664298</v>
      </c>
    </row>
    <row r="69" spans="1:4" x14ac:dyDescent="0.25">
      <c r="A69" t="s">
        <v>223</v>
      </c>
      <c r="B69" t="s">
        <v>224</v>
      </c>
      <c r="C69" s="30">
        <v>194363.075634051</v>
      </c>
      <c r="D69" s="30">
        <v>14501.954474764199</v>
      </c>
    </row>
    <row r="70" spans="1:4" x14ac:dyDescent="0.25">
      <c r="A70" t="s">
        <v>225</v>
      </c>
      <c r="B70" t="s">
        <v>226</v>
      </c>
      <c r="C70" s="30">
        <v>1431.29375792363</v>
      </c>
      <c r="D70" s="30">
        <v>116.89187871055201</v>
      </c>
    </row>
    <row r="71" spans="1:4" x14ac:dyDescent="0.25">
      <c r="A71" t="s">
        <v>227</v>
      </c>
      <c r="B71" t="s">
        <v>228</v>
      </c>
      <c r="C71" s="30">
        <v>193721.48187383299</v>
      </c>
      <c r="D71" s="30">
        <v>15967.932902537699</v>
      </c>
    </row>
    <row r="72" spans="1:4" x14ac:dyDescent="0.25">
      <c r="A72" t="s">
        <v>229</v>
      </c>
      <c r="B72" t="s">
        <v>230</v>
      </c>
      <c r="C72" s="30">
        <v>8315.2061895011702</v>
      </c>
      <c r="D72" s="30">
        <v>459.36483344609798</v>
      </c>
    </row>
    <row r="73" spans="1:4" x14ac:dyDescent="0.25">
      <c r="A73" t="s">
        <v>231</v>
      </c>
      <c r="B73" t="s">
        <v>232</v>
      </c>
      <c r="C73" s="30">
        <v>18454.344158522399</v>
      </c>
      <c r="D73" s="30">
        <v>2133.4887003624299</v>
      </c>
    </row>
    <row r="74" spans="1:4" x14ac:dyDescent="0.25">
      <c r="A74" t="s">
        <v>233</v>
      </c>
      <c r="B74" t="s">
        <v>234</v>
      </c>
      <c r="C74" s="30">
        <v>8408.5701131387395</v>
      </c>
      <c r="D74" s="30">
        <v>799.53174772092598</v>
      </c>
    </row>
    <row r="75" spans="1:4" x14ac:dyDescent="0.25">
      <c r="A75" t="s">
        <v>235</v>
      </c>
      <c r="B75" t="s">
        <v>236</v>
      </c>
      <c r="C75" s="30">
        <v>1066.1659946360301</v>
      </c>
      <c r="D75" s="30">
        <v>38.557988117518498</v>
      </c>
    </row>
    <row r="76" spans="1:4" x14ac:dyDescent="0.25">
      <c r="A76" t="s">
        <v>237</v>
      </c>
      <c r="B76" t="s">
        <v>238</v>
      </c>
      <c r="C76" s="30">
        <v>973.74248934990896</v>
      </c>
      <c r="D76" s="30">
        <v>71.678562477335106</v>
      </c>
    </row>
    <row r="77" spans="1:4" x14ac:dyDescent="0.25">
      <c r="A77" t="s">
        <v>239</v>
      </c>
      <c r="B77" t="s">
        <v>240</v>
      </c>
      <c r="C77" s="30">
        <v>599.68380363738402</v>
      </c>
      <c r="D77" s="30">
        <v>46.195465842142497</v>
      </c>
    </row>
    <row r="78" spans="1:4" x14ac:dyDescent="0.25">
      <c r="A78" t="s">
        <v>241</v>
      </c>
      <c r="B78" t="s">
        <v>242</v>
      </c>
      <c r="C78" s="30">
        <v>34755.710642395898</v>
      </c>
      <c r="D78" s="30">
        <v>2684.6925820637198</v>
      </c>
    </row>
    <row r="79" spans="1:4" x14ac:dyDescent="0.25">
      <c r="A79" t="s">
        <v>243</v>
      </c>
      <c r="B79" t="s">
        <v>244</v>
      </c>
      <c r="C79" s="30">
        <v>186.330290215529</v>
      </c>
      <c r="D79" s="30">
        <v>36.8439427525404</v>
      </c>
    </row>
    <row r="80" spans="1:4" x14ac:dyDescent="0.25">
      <c r="A80" t="s">
        <v>245</v>
      </c>
      <c r="B80" t="s">
        <v>246</v>
      </c>
      <c r="C80" s="30">
        <v>12565.1277968288</v>
      </c>
      <c r="D80" s="30">
        <v>1250.4515423503101</v>
      </c>
    </row>
    <row r="81" spans="1:4" x14ac:dyDescent="0.25">
      <c r="A81" t="s">
        <v>247</v>
      </c>
      <c r="B81" t="s">
        <v>248</v>
      </c>
      <c r="C81" s="30">
        <v>778.160723300585</v>
      </c>
      <c r="D81" s="30">
        <v>128.80979801351901</v>
      </c>
    </row>
    <row r="82" spans="1:4" x14ac:dyDescent="0.25">
      <c r="A82" t="s">
        <v>249</v>
      </c>
      <c r="B82" t="s">
        <v>250</v>
      </c>
      <c r="C82" s="30">
        <v>7700.1528482245703</v>
      </c>
      <c r="D82" s="30">
        <v>521.19903681663402</v>
      </c>
    </row>
    <row r="83" spans="1:4" x14ac:dyDescent="0.25">
      <c r="A83" t="s">
        <v>251</v>
      </c>
      <c r="B83" t="s">
        <v>252</v>
      </c>
      <c r="C83" s="30">
        <v>13864.0813541813</v>
      </c>
      <c r="D83" s="30">
        <v>913.85945802588003</v>
      </c>
    </row>
    <row r="84" spans="1:4" x14ac:dyDescent="0.25">
      <c r="A84" t="s">
        <v>253</v>
      </c>
      <c r="B84" t="s">
        <v>254</v>
      </c>
      <c r="C84" s="30">
        <v>10489.414783647</v>
      </c>
      <c r="D84" s="30">
        <v>1379.13589458969</v>
      </c>
    </row>
    <row r="85" spans="1:4" x14ac:dyDescent="0.25">
      <c r="A85" t="s">
        <v>255</v>
      </c>
      <c r="B85" t="s">
        <v>256</v>
      </c>
      <c r="C85" s="30">
        <v>34033.262040981397</v>
      </c>
      <c r="D85" s="30">
        <v>1565.7270908102</v>
      </c>
    </row>
    <row r="86" spans="1:4" x14ac:dyDescent="0.25">
      <c r="A86" t="s">
        <v>257</v>
      </c>
      <c r="B86" t="s">
        <v>258</v>
      </c>
      <c r="C86" s="30">
        <v>228890.08847959101</v>
      </c>
      <c r="D86" s="30">
        <v>11407.069864634001</v>
      </c>
    </row>
    <row r="87" spans="1:4" x14ac:dyDescent="0.25">
      <c r="A87" t="s">
        <v>259</v>
      </c>
      <c r="B87" t="s">
        <v>260</v>
      </c>
      <c r="C87" s="30">
        <v>929554.75797354395</v>
      </c>
      <c r="D87" s="30">
        <v>32107.145508504102</v>
      </c>
    </row>
    <row r="88" spans="1:4" x14ac:dyDescent="0.25">
      <c r="A88" t="s">
        <v>261</v>
      </c>
      <c r="B88" t="s">
        <v>262</v>
      </c>
      <c r="C88" s="30">
        <v>10257.785633927</v>
      </c>
      <c r="D88" s="30">
        <v>795.60583850112505</v>
      </c>
    </row>
    <row r="89" spans="1:4" x14ac:dyDescent="0.25">
      <c r="A89" t="s">
        <v>263</v>
      </c>
      <c r="B89" t="s">
        <v>264</v>
      </c>
      <c r="C89" s="30">
        <v>66679.786095134201</v>
      </c>
      <c r="D89" s="30">
        <v>3916.2544901042902</v>
      </c>
    </row>
    <row r="90" spans="1:4" x14ac:dyDescent="0.25">
      <c r="A90" t="s">
        <v>265</v>
      </c>
      <c r="B90" t="s">
        <v>266</v>
      </c>
      <c r="C90" s="30">
        <v>24381.343741622401</v>
      </c>
      <c r="D90" s="30">
        <v>861.37862809850401</v>
      </c>
    </row>
    <row r="91" spans="1:4" x14ac:dyDescent="0.25">
      <c r="A91" t="s">
        <v>267</v>
      </c>
      <c r="B91" t="s">
        <v>268</v>
      </c>
      <c r="C91" s="30">
        <v>648.96887472205799</v>
      </c>
      <c r="D91" s="30">
        <v>63.560616778974698</v>
      </c>
    </row>
    <row r="92" spans="1:4" x14ac:dyDescent="0.25">
      <c r="A92" t="s">
        <v>269</v>
      </c>
      <c r="B92" t="s">
        <v>270</v>
      </c>
      <c r="C92" s="30">
        <v>14445.7849374827</v>
      </c>
      <c r="D92" s="30">
        <v>764.24305054453203</v>
      </c>
    </row>
    <row r="93" spans="1:4" x14ac:dyDescent="0.25">
      <c r="A93" t="s">
        <v>271</v>
      </c>
      <c r="B93" t="s">
        <v>272</v>
      </c>
      <c r="C93" s="30">
        <v>189150.086489245</v>
      </c>
      <c r="D93" s="30">
        <v>11673.7561357512</v>
      </c>
    </row>
    <row r="94" spans="1:4" x14ac:dyDescent="0.25">
      <c r="A94" t="s">
        <v>273</v>
      </c>
      <c r="B94" t="s">
        <v>274</v>
      </c>
      <c r="C94" s="30">
        <v>4316.7158154213002</v>
      </c>
      <c r="D94" s="30">
        <v>847.644137592113</v>
      </c>
    </row>
    <row r="95" spans="1:4" x14ac:dyDescent="0.25">
      <c r="A95" t="s">
        <v>275</v>
      </c>
      <c r="B95" t="s">
        <v>276</v>
      </c>
      <c r="C95" s="30">
        <v>5631.5415858677197</v>
      </c>
      <c r="D95" s="30">
        <v>256.50548407913402</v>
      </c>
    </row>
    <row r="96" spans="1:4" x14ac:dyDescent="0.25">
      <c r="A96" t="s">
        <v>277</v>
      </c>
      <c r="B96" t="s">
        <v>278</v>
      </c>
      <c r="C96" s="30">
        <v>437745.52509406599</v>
      </c>
      <c r="D96" s="30">
        <v>16408.044902300298</v>
      </c>
    </row>
    <row r="97" spans="1:4" x14ac:dyDescent="0.25">
      <c r="A97" t="s">
        <v>279</v>
      </c>
      <c r="B97" t="s">
        <v>280</v>
      </c>
      <c r="C97" s="30">
        <v>21028.913892860099</v>
      </c>
      <c r="D97" s="30">
        <v>601.11869349860399</v>
      </c>
    </row>
    <row r="98" spans="1:4" x14ac:dyDescent="0.25">
      <c r="A98" t="s">
        <v>281</v>
      </c>
      <c r="B98" t="s">
        <v>282</v>
      </c>
      <c r="C98" s="30">
        <v>23224.784181685402</v>
      </c>
      <c r="D98" s="30">
        <v>1886.71868303357</v>
      </c>
    </row>
    <row r="99" spans="1:4" x14ac:dyDescent="0.25">
      <c r="A99" t="s">
        <v>283</v>
      </c>
      <c r="B99" t="s">
        <v>284</v>
      </c>
      <c r="C99" s="30">
        <v>4143.3708793672804</v>
      </c>
      <c r="D99" s="30">
        <v>112.89727150568901</v>
      </c>
    </row>
    <row r="100" spans="1:4" x14ac:dyDescent="0.25">
      <c r="A100" t="s">
        <v>285</v>
      </c>
      <c r="B100" t="s">
        <v>286</v>
      </c>
      <c r="C100" s="30">
        <v>14517.4813603439</v>
      </c>
      <c r="D100" s="30">
        <v>662.74341947164703</v>
      </c>
    </row>
    <row r="101" spans="1:4" x14ac:dyDescent="0.25">
      <c r="A101" t="s">
        <v>287</v>
      </c>
      <c r="B101" t="s">
        <v>288</v>
      </c>
      <c r="C101" s="30">
        <v>98.760821735780297</v>
      </c>
      <c r="D101" s="30">
        <v>20.027458093186301</v>
      </c>
    </row>
    <row r="102" spans="1:4" x14ac:dyDescent="0.25">
      <c r="A102" t="s">
        <v>289</v>
      </c>
      <c r="B102" t="s">
        <v>290</v>
      </c>
      <c r="C102" s="30">
        <v>103436.73109983699</v>
      </c>
      <c r="D102" s="30">
        <v>2711.7549485191798</v>
      </c>
    </row>
    <row r="103" spans="1:4" x14ac:dyDescent="0.25">
      <c r="A103" t="s">
        <v>291</v>
      </c>
      <c r="B103" t="s">
        <v>292</v>
      </c>
      <c r="C103" s="30">
        <v>1648.2314336076799</v>
      </c>
      <c r="D103" s="30">
        <v>105.849027480212</v>
      </c>
    </row>
    <row r="104" spans="1:4" x14ac:dyDescent="0.25">
      <c r="A104" t="s">
        <v>293</v>
      </c>
      <c r="B104" t="s">
        <v>294</v>
      </c>
      <c r="C104" s="30">
        <v>4963.1705754886598</v>
      </c>
      <c r="D104" s="30">
        <v>208.904015985196</v>
      </c>
    </row>
    <row r="105" spans="1:4" x14ac:dyDescent="0.25">
      <c r="A105" t="s">
        <v>295</v>
      </c>
      <c r="B105" t="s">
        <v>296</v>
      </c>
      <c r="C105" s="30">
        <v>7480.1544665812899</v>
      </c>
      <c r="D105" s="30">
        <v>587.87289128144096</v>
      </c>
    </row>
    <row r="106" spans="1:4" x14ac:dyDescent="0.25">
      <c r="A106" t="s">
        <v>297</v>
      </c>
      <c r="B106" t="s">
        <v>298</v>
      </c>
      <c r="C106" s="30">
        <v>2047.3084252272999</v>
      </c>
      <c r="D106" s="30">
        <v>215.75999258687801</v>
      </c>
    </row>
    <row r="107" spans="1:4" x14ac:dyDescent="0.25">
      <c r="A107" t="s">
        <v>299</v>
      </c>
      <c r="B107" t="s">
        <v>300</v>
      </c>
      <c r="C107" s="30">
        <v>5423.5638815948396</v>
      </c>
      <c r="D107" s="30">
        <v>207.907619240038</v>
      </c>
    </row>
    <row r="108" spans="1:4" x14ac:dyDescent="0.25">
      <c r="A108" t="s">
        <v>301</v>
      </c>
      <c r="B108" t="s">
        <v>302</v>
      </c>
      <c r="C108" s="30">
        <v>302.26534926483703</v>
      </c>
      <c r="D108" s="30">
        <v>67.218960135304997</v>
      </c>
    </row>
    <row r="109" spans="1:4" x14ac:dyDescent="0.25">
      <c r="A109" t="s">
        <v>303</v>
      </c>
      <c r="B109" t="s">
        <v>304</v>
      </c>
      <c r="C109" s="30">
        <v>18661.3863969503</v>
      </c>
      <c r="D109" s="30">
        <v>655.55948631639501</v>
      </c>
    </row>
    <row r="110" spans="1:4" x14ac:dyDescent="0.25">
      <c r="A110" t="s">
        <v>305</v>
      </c>
      <c r="B110" t="s">
        <v>306</v>
      </c>
      <c r="C110" s="30">
        <v>2210.7702013766502</v>
      </c>
      <c r="D110" s="30">
        <v>186.91281392358701</v>
      </c>
    </row>
    <row r="111" spans="1:4" x14ac:dyDescent="0.25">
      <c r="A111" t="s">
        <v>307</v>
      </c>
      <c r="B111" t="s">
        <v>308</v>
      </c>
      <c r="C111" s="30">
        <v>7812.30295975835</v>
      </c>
      <c r="D111" s="30">
        <v>550.50625519105699</v>
      </c>
    </row>
    <row r="112" spans="1:4" x14ac:dyDescent="0.25">
      <c r="A112" t="s">
        <v>309</v>
      </c>
      <c r="B112" t="s">
        <v>310</v>
      </c>
      <c r="C112" s="30">
        <v>1284.4415231235</v>
      </c>
      <c r="D112" s="30">
        <v>84.714827070049495</v>
      </c>
    </row>
    <row r="113" spans="1:4" x14ac:dyDescent="0.25">
      <c r="A113" t="s">
        <v>311</v>
      </c>
      <c r="B113" t="s">
        <v>312</v>
      </c>
      <c r="C113" s="30">
        <v>5557.0250390482797</v>
      </c>
      <c r="D113" s="30">
        <v>398.181718106353</v>
      </c>
    </row>
    <row r="114" spans="1:4" x14ac:dyDescent="0.25">
      <c r="A114" t="s">
        <v>313</v>
      </c>
      <c r="B114" t="s">
        <v>314</v>
      </c>
      <c r="C114" s="30">
        <v>27902.930901096599</v>
      </c>
      <c r="D114" s="30">
        <v>1184.79170432919</v>
      </c>
    </row>
    <row r="115" spans="1:4" x14ac:dyDescent="0.25">
      <c r="A115" t="s">
        <v>315</v>
      </c>
      <c r="B115" t="s">
        <v>316</v>
      </c>
      <c r="C115" s="30">
        <v>224.502519106178</v>
      </c>
      <c r="D115" s="30">
        <v>11.912932795402201</v>
      </c>
    </row>
    <row r="116" spans="1:4" x14ac:dyDescent="0.25">
      <c r="A116" t="s">
        <v>317</v>
      </c>
      <c r="B116" t="s">
        <v>318</v>
      </c>
      <c r="C116" s="30">
        <v>6235.0640717139904</v>
      </c>
      <c r="D116" s="30">
        <v>307.21011141482001</v>
      </c>
    </row>
    <row r="117" spans="1:4" x14ac:dyDescent="0.25">
      <c r="A117" t="s">
        <v>319</v>
      </c>
      <c r="B117" t="s">
        <v>320</v>
      </c>
      <c r="C117" s="30">
        <v>10990.903223797801</v>
      </c>
      <c r="D117" s="30">
        <v>778.27286169337003</v>
      </c>
    </row>
    <row r="118" spans="1:4" x14ac:dyDescent="0.25">
      <c r="A118" t="s">
        <v>321</v>
      </c>
      <c r="B118" t="s">
        <v>322</v>
      </c>
      <c r="C118" s="30">
        <v>211.784379782282</v>
      </c>
      <c r="D118" s="30">
        <v>10.167580959284001</v>
      </c>
    </row>
    <row r="119" spans="1:4" x14ac:dyDescent="0.25">
      <c r="A119" t="s">
        <v>323</v>
      </c>
      <c r="B119" t="s">
        <v>324</v>
      </c>
      <c r="C119" s="30">
        <v>105590.82140398301</v>
      </c>
      <c r="D119" s="30">
        <v>9256.4914810707596</v>
      </c>
    </row>
    <row r="120" spans="1:4" x14ac:dyDescent="0.25">
      <c r="A120" t="s">
        <v>325</v>
      </c>
      <c r="B120" t="s">
        <v>326</v>
      </c>
      <c r="C120" s="30">
        <v>53.468051537794899</v>
      </c>
      <c r="D120" s="30">
        <v>2.9216018301751299</v>
      </c>
    </row>
    <row r="121" spans="1:4" x14ac:dyDescent="0.25">
      <c r="A121" t="s">
        <v>327</v>
      </c>
      <c r="B121" t="s">
        <v>328</v>
      </c>
      <c r="C121" s="30">
        <v>5424.1096851565999</v>
      </c>
      <c r="D121" s="30">
        <v>287.57467430761801</v>
      </c>
    </row>
    <row r="122" spans="1:4" x14ac:dyDescent="0.25">
      <c r="A122" t="s">
        <v>329</v>
      </c>
      <c r="B122" t="s">
        <v>330</v>
      </c>
      <c r="C122" s="30">
        <v>9310.8214184401404</v>
      </c>
      <c r="D122" s="30">
        <v>450.82585192877201</v>
      </c>
    </row>
    <row r="123" spans="1:4" x14ac:dyDescent="0.25">
      <c r="A123" t="s">
        <v>331</v>
      </c>
      <c r="B123" t="s">
        <v>332</v>
      </c>
      <c r="C123" s="30">
        <v>987.79240414974197</v>
      </c>
      <c r="D123" s="30">
        <v>56.527412933344401</v>
      </c>
    </row>
    <row r="124" spans="1:4" x14ac:dyDescent="0.25">
      <c r="A124" t="s">
        <v>333</v>
      </c>
      <c r="B124" t="s">
        <v>334</v>
      </c>
      <c r="C124" s="30">
        <v>52543.365462156296</v>
      </c>
      <c r="D124" s="30">
        <v>2183.5113512120001</v>
      </c>
    </row>
    <row r="125" spans="1:4" x14ac:dyDescent="0.25">
      <c r="A125" t="s">
        <v>335</v>
      </c>
      <c r="B125" t="s">
        <v>336</v>
      </c>
      <c r="C125" s="30">
        <v>1641.76449090195</v>
      </c>
      <c r="D125" s="30">
        <v>104.824598187958</v>
      </c>
    </row>
    <row r="126" spans="1:4" x14ac:dyDescent="0.25">
      <c r="A126" t="s">
        <v>337</v>
      </c>
      <c r="B126" t="s">
        <v>338</v>
      </c>
      <c r="C126" s="30">
        <v>5957.9126048569597</v>
      </c>
      <c r="D126" s="30">
        <v>52.509390034478301</v>
      </c>
    </row>
    <row r="127" spans="1:4" x14ac:dyDescent="0.25">
      <c r="A127" t="s">
        <v>339</v>
      </c>
      <c r="B127" t="s">
        <v>340</v>
      </c>
      <c r="C127" s="30">
        <v>13501.3285861978</v>
      </c>
      <c r="D127" s="30">
        <v>402.74087851142599</v>
      </c>
    </row>
    <row r="128" spans="1:4" x14ac:dyDescent="0.25">
      <c r="A128" t="s">
        <v>341</v>
      </c>
      <c r="B128" t="s">
        <v>342</v>
      </c>
      <c r="C128" s="30">
        <v>2056.0354819110198</v>
      </c>
      <c r="D128" s="30">
        <v>255.460277467693</v>
      </c>
    </row>
    <row r="129" spans="1:4" x14ac:dyDescent="0.25">
      <c r="A129" t="s">
        <v>343</v>
      </c>
      <c r="B129" t="s">
        <v>344</v>
      </c>
      <c r="C129" s="30">
        <v>1510.16062765418</v>
      </c>
      <c r="D129" s="30">
        <v>96.508629173174896</v>
      </c>
    </row>
    <row r="130" spans="1:4" x14ac:dyDescent="0.25">
      <c r="A130" t="s">
        <v>345</v>
      </c>
      <c r="B130" t="s">
        <v>346</v>
      </c>
      <c r="C130" s="30">
        <v>10091.910744499701</v>
      </c>
      <c r="D130" s="30">
        <v>431.24192964703298</v>
      </c>
    </row>
    <row r="131" spans="1:4" x14ac:dyDescent="0.25">
      <c r="A131" t="s">
        <v>347</v>
      </c>
      <c r="B131" t="s">
        <v>348</v>
      </c>
      <c r="C131" s="30">
        <v>31051.123631711002</v>
      </c>
      <c r="D131" s="30">
        <v>1152.52626605872</v>
      </c>
    </row>
    <row r="132" spans="1:4" x14ac:dyDescent="0.25">
      <c r="A132" t="s">
        <v>349</v>
      </c>
      <c r="B132" t="s">
        <v>350</v>
      </c>
      <c r="C132" s="30">
        <v>1591.7460853985699</v>
      </c>
      <c r="D132" s="30">
        <v>192.92082705505999</v>
      </c>
    </row>
    <row r="133" spans="1:4" x14ac:dyDescent="0.25">
      <c r="A133" t="s">
        <v>351</v>
      </c>
      <c r="B133" t="s">
        <v>352</v>
      </c>
      <c r="C133" s="30">
        <v>6958.3828945098003</v>
      </c>
      <c r="D133" s="30">
        <v>693.36322988850202</v>
      </c>
    </row>
    <row r="134" spans="1:4" x14ac:dyDescent="0.25">
      <c r="A134" t="s">
        <v>353</v>
      </c>
      <c r="B134" t="s">
        <v>354</v>
      </c>
      <c r="C134" s="30">
        <v>81229.585036301607</v>
      </c>
      <c r="D134" s="30">
        <v>15367.2468465645</v>
      </c>
    </row>
    <row r="135" spans="1:4" x14ac:dyDescent="0.25">
      <c r="A135" t="s">
        <v>355</v>
      </c>
      <c r="B135" t="s">
        <v>356</v>
      </c>
      <c r="C135" s="30">
        <v>4407.0025538592799</v>
      </c>
      <c r="D135" s="30">
        <v>479.75687699776699</v>
      </c>
    </row>
    <row r="136" spans="1:4" x14ac:dyDescent="0.25">
      <c r="A136" t="s">
        <v>357</v>
      </c>
      <c r="B136" t="s">
        <v>358</v>
      </c>
      <c r="C136" s="30">
        <v>55905.768469484901</v>
      </c>
      <c r="D136" s="30">
        <v>4105.5299997193097</v>
      </c>
    </row>
    <row r="137" spans="1:4" x14ac:dyDescent="0.25">
      <c r="A137" t="s">
        <v>359</v>
      </c>
      <c r="B137" t="s">
        <v>360</v>
      </c>
      <c r="C137" s="30">
        <v>12574.471909382901</v>
      </c>
      <c r="D137" s="30">
        <v>1370.07960125306</v>
      </c>
    </row>
    <row r="138" spans="1:4" x14ac:dyDescent="0.25">
      <c r="A138" t="s">
        <v>361</v>
      </c>
      <c r="B138" t="s">
        <v>362</v>
      </c>
      <c r="C138" s="30">
        <v>21551.208112875502</v>
      </c>
      <c r="D138" s="30">
        <v>737.81209100601404</v>
      </c>
    </row>
    <row r="139" spans="1:4" x14ac:dyDescent="0.25">
      <c r="A139" t="s">
        <v>363</v>
      </c>
      <c r="B139" t="s">
        <v>364</v>
      </c>
      <c r="C139" s="30">
        <v>7.6123431385470104</v>
      </c>
      <c r="D139" s="30">
        <v>0.26210837638092499</v>
      </c>
    </row>
    <row r="140" spans="1:4" x14ac:dyDescent="0.25">
      <c r="A140" t="s">
        <v>365</v>
      </c>
      <c r="B140" t="s">
        <v>366</v>
      </c>
      <c r="C140" s="30">
        <v>10439.1705335713</v>
      </c>
      <c r="D140" s="30">
        <v>869.13532554833296</v>
      </c>
    </row>
    <row r="141" spans="1:4" x14ac:dyDescent="0.25">
      <c r="A141" t="s">
        <v>367</v>
      </c>
      <c r="B141" t="s">
        <v>368</v>
      </c>
      <c r="C141" s="30">
        <v>1363.21810181249</v>
      </c>
      <c r="D141" s="30">
        <v>54.129858101091202</v>
      </c>
    </row>
    <row r="142" spans="1:4" x14ac:dyDescent="0.25">
      <c r="A142" t="s">
        <v>369</v>
      </c>
      <c r="B142" t="s">
        <v>370</v>
      </c>
      <c r="C142" s="30">
        <v>179465.20692758</v>
      </c>
      <c r="D142" s="30">
        <v>4921.9222383178203</v>
      </c>
    </row>
    <row r="143" spans="1:4" x14ac:dyDescent="0.25">
      <c r="A143" t="s">
        <v>371</v>
      </c>
      <c r="B143" t="s">
        <v>372</v>
      </c>
      <c r="C143" s="30">
        <v>3954.0224758561999</v>
      </c>
      <c r="D143" s="30">
        <v>489.41879450235501</v>
      </c>
    </row>
    <row r="144" spans="1:4" x14ac:dyDescent="0.25">
      <c r="A144" t="s">
        <v>373</v>
      </c>
      <c r="B144" t="s">
        <v>374</v>
      </c>
      <c r="C144" s="30">
        <v>33336.762224528597</v>
      </c>
      <c r="D144" s="30">
        <v>3285.4786791787701</v>
      </c>
    </row>
    <row r="145" spans="1:6" x14ac:dyDescent="0.25">
      <c r="A145" t="s">
        <v>375</v>
      </c>
      <c r="B145" t="s">
        <v>376</v>
      </c>
      <c r="C145" s="30">
        <v>81126.308336325994</v>
      </c>
      <c r="D145" s="30">
        <v>4253.3275112040501</v>
      </c>
    </row>
    <row r="146" spans="1:6" x14ac:dyDescent="0.25">
      <c r="A146" t="s">
        <v>377</v>
      </c>
      <c r="B146" t="s">
        <v>378</v>
      </c>
      <c r="C146" s="30">
        <v>35.592063299331798</v>
      </c>
      <c r="D146" s="30">
        <v>2.19282928843531</v>
      </c>
    </row>
    <row r="147" spans="1:6" x14ac:dyDescent="0.25">
      <c r="A147" t="s">
        <v>379</v>
      </c>
      <c r="B147" t="s">
        <v>380</v>
      </c>
      <c r="C147" s="30">
        <v>5627.7668480006196</v>
      </c>
      <c r="D147" s="30">
        <v>325.06323595700599</v>
      </c>
      <c r="F147" t="s">
        <v>551</v>
      </c>
    </row>
    <row r="148" spans="1:6" x14ac:dyDescent="0.25">
      <c r="A148" t="s">
        <v>381</v>
      </c>
      <c r="B148" t="s">
        <v>382</v>
      </c>
      <c r="C148" s="30">
        <v>121239.36194454999</v>
      </c>
      <c r="D148" s="30">
        <v>6541.1197536698901</v>
      </c>
    </row>
    <row r="149" spans="1:6" x14ac:dyDescent="0.25">
      <c r="A149" t="s">
        <v>383</v>
      </c>
      <c r="B149" t="s">
        <v>384</v>
      </c>
      <c r="C149" s="30">
        <v>6877.4159984671596</v>
      </c>
      <c r="D149" s="30">
        <v>888.21597590446697</v>
      </c>
    </row>
    <row r="150" spans="1:6" x14ac:dyDescent="0.25">
      <c r="A150" t="s">
        <v>385</v>
      </c>
      <c r="B150" t="s">
        <v>386</v>
      </c>
      <c r="C150" s="30">
        <v>40791.8856403342</v>
      </c>
      <c r="D150" s="40">
        <f>0.0487*C150 + 683.06</f>
        <v>2669.6248306842754</v>
      </c>
    </row>
    <row r="151" spans="1:6" x14ac:dyDescent="0.25">
      <c r="A151" t="s">
        <v>387</v>
      </c>
      <c r="B151" t="s">
        <v>388</v>
      </c>
      <c r="C151" s="30">
        <v>31145.443991860298</v>
      </c>
      <c r="D151" s="30">
        <v>2677.7197282031798</v>
      </c>
    </row>
    <row r="152" spans="1:6" x14ac:dyDescent="0.25">
      <c r="A152" t="s">
        <v>389</v>
      </c>
      <c r="B152" t="s">
        <v>390</v>
      </c>
      <c r="C152" s="30">
        <v>6120.08537813356</v>
      </c>
      <c r="D152" s="30">
        <v>563.68966225939005</v>
      </c>
    </row>
    <row r="153" spans="1:6" x14ac:dyDescent="0.25">
      <c r="A153" t="s">
        <v>391</v>
      </c>
      <c r="B153" t="s">
        <v>392</v>
      </c>
      <c r="C153" s="30">
        <v>2902.7198594118499</v>
      </c>
      <c r="D153" s="30">
        <v>122.486674887402</v>
      </c>
    </row>
    <row r="154" spans="1:6" x14ac:dyDescent="0.25">
      <c r="A154" t="s">
        <v>393</v>
      </c>
      <c r="B154" t="s">
        <v>394</v>
      </c>
      <c r="C154" s="30">
        <v>828.34303718153706</v>
      </c>
      <c r="D154" s="30">
        <v>31.699471018794799</v>
      </c>
    </row>
    <row r="155" spans="1:6" x14ac:dyDescent="0.25">
      <c r="A155" t="s">
        <v>395</v>
      </c>
      <c r="B155" t="s">
        <v>396</v>
      </c>
      <c r="C155" s="30">
        <v>52482.0739374759</v>
      </c>
      <c r="D155" s="30">
        <v>2629.8915751536001</v>
      </c>
    </row>
    <row r="156" spans="1:6" x14ac:dyDescent="0.25">
      <c r="A156" t="s">
        <v>397</v>
      </c>
      <c r="B156" t="s">
        <v>398</v>
      </c>
      <c r="C156" s="30">
        <v>296085.16024611902</v>
      </c>
      <c r="D156" s="30">
        <v>12931.8584557587</v>
      </c>
    </row>
    <row r="157" spans="1:6" x14ac:dyDescent="0.25">
      <c r="A157" t="s">
        <v>399</v>
      </c>
      <c r="B157" t="s">
        <v>400</v>
      </c>
      <c r="C157" s="30">
        <v>7126.35827789003</v>
      </c>
      <c r="D157" s="30">
        <v>538.32813509834</v>
      </c>
    </row>
    <row r="158" spans="1:6" x14ac:dyDescent="0.25">
      <c r="A158" t="s">
        <v>401</v>
      </c>
      <c r="B158" t="s">
        <v>402</v>
      </c>
      <c r="C158" s="30">
        <v>13073.304992552199</v>
      </c>
      <c r="D158" s="30">
        <v>480.41645835758902</v>
      </c>
    </row>
    <row r="159" spans="1:6" x14ac:dyDescent="0.25">
      <c r="A159" t="s">
        <v>403</v>
      </c>
      <c r="B159" t="s">
        <v>404</v>
      </c>
      <c r="C159" s="30">
        <v>17067.794524586101</v>
      </c>
      <c r="D159" s="30">
        <v>866.76420474872202</v>
      </c>
    </row>
    <row r="160" spans="1:6" x14ac:dyDescent="0.25">
      <c r="A160" t="s">
        <v>405</v>
      </c>
      <c r="B160" t="s">
        <v>406</v>
      </c>
      <c r="C160" s="30">
        <v>8183.6877166540698</v>
      </c>
      <c r="D160" s="30">
        <v>972.575297603134</v>
      </c>
    </row>
    <row r="161" spans="1:4" x14ac:dyDescent="0.25">
      <c r="A161" t="s">
        <v>407</v>
      </c>
      <c r="B161" t="s">
        <v>408</v>
      </c>
      <c r="C161" s="30">
        <v>6947.5793669957902</v>
      </c>
      <c r="D161" s="30">
        <v>250.53995524711499</v>
      </c>
    </row>
    <row r="162" spans="1:4" x14ac:dyDescent="0.25">
      <c r="A162" t="s">
        <v>409</v>
      </c>
      <c r="B162" t="s">
        <v>410</v>
      </c>
      <c r="C162" s="30">
        <v>648.25002854184004</v>
      </c>
      <c r="D162" s="30">
        <v>24.6043576673069</v>
      </c>
    </row>
    <row r="163" spans="1:4" x14ac:dyDescent="0.25">
      <c r="A163" t="s">
        <v>411</v>
      </c>
      <c r="B163" t="s">
        <v>412</v>
      </c>
      <c r="C163" s="30">
        <v>3790.4861576542398</v>
      </c>
      <c r="D163" s="30">
        <v>383.98010954496601</v>
      </c>
    </row>
    <row r="164" spans="1:4" x14ac:dyDescent="0.25">
      <c r="A164" t="s">
        <v>413</v>
      </c>
      <c r="B164" t="s">
        <v>414</v>
      </c>
      <c r="C164" s="30">
        <v>5889.9227111936498</v>
      </c>
      <c r="D164" s="30">
        <v>556.37188160954304</v>
      </c>
    </row>
    <row r="165" spans="1:4" x14ac:dyDescent="0.25">
      <c r="A165" t="s">
        <v>415</v>
      </c>
      <c r="B165" t="s">
        <v>416</v>
      </c>
      <c r="C165" s="30">
        <v>116.304699156328</v>
      </c>
      <c r="D165" s="30">
        <v>8.9152605827963498</v>
      </c>
    </row>
    <row r="166" spans="1:4" x14ac:dyDescent="0.25">
      <c r="A166" t="s">
        <v>417</v>
      </c>
      <c r="B166" t="s">
        <v>418</v>
      </c>
      <c r="C166" s="30">
        <v>7982.0892564558098</v>
      </c>
      <c r="D166" s="30">
        <v>446.590981171843</v>
      </c>
    </row>
    <row r="167" spans="1:4" x14ac:dyDescent="0.25">
      <c r="A167" t="s">
        <v>419</v>
      </c>
      <c r="B167" t="s">
        <v>420</v>
      </c>
      <c r="C167" s="30">
        <v>28333.957563081</v>
      </c>
      <c r="D167" s="30">
        <v>1497.13642942502</v>
      </c>
    </row>
    <row r="168" spans="1:4" x14ac:dyDescent="0.25">
      <c r="A168" t="s">
        <v>421</v>
      </c>
      <c r="B168" t="s">
        <v>422</v>
      </c>
      <c r="C168" s="30">
        <v>4128.7615134338203</v>
      </c>
      <c r="D168" s="30">
        <v>373.90727627102302</v>
      </c>
    </row>
    <row r="169" spans="1:4" x14ac:dyDescent="0.25">
      <c r="A169" t="s">
        <v>423</v>
      </c>
      <c r="B169" t="s">
        <v>424</v>
      </c>
      <c r="C169" s="30">
        <v>144.676449842869</v>
      </c>
      <c r="D169" s="30">
        <v>8.5782257342330706</v>
      </c>
    </row>
    <row r="170" spans="1:4" x14ac:dyDescent="0.25">
      <c r="A170" t="s">
        <v>425</v>
      </c>
      <c r="B170" t="s">
        <v>426</v>
      </c>
      <c r="C170" s="30">
        <v>712.96995501855804</v>
      </c>
      <c r="D170" s="30">
        <v>96.596159928059507</v>
      </c>
    </row>
    <row r="171" spans="1:4" x14ac:dyDescent="0.25">
      <c r="A171" t="s">
        <v>427</v>
      </c>
      <c r="B171" t="s">
        <v>428</v>
      </c>
      <c r="C171" s="30">
        <v>13880.17271558</v>
      </c>
      <c r="D171" s="30">
        <v>694.43638601367604</v>
      </c>
    </row>
    <row r="172" spans="1:4" x14ac:dyDescent="0.25">
      <c r="A172" t="s">
        <v>429</v>
      </c>
      <c r="B172" t="s">
        <v>430</v>
      </c>
      <c r="C172" s="30">
        <v>6308.4320453632299</v>
      </c>
      <c r="D172" s="30">
        <v>523.14192398984096</v>
      </c>
    </row>
    <row r="173" spans="1:4" x14ac:dyDescent="0.25">
      <c r="A173" t="s">
        <v>431</v>
      </c>
      <c r="B173" t="s">
        <v>432</v>
      </c>
      <c r="C173" s="30">
        <v>26188.628795694302</v>
      </c>
      <c r="D173" s="30">
        <v>3025.6334244907398</v>
      </c>
    </row>
    <row r="174" spans="1:4" x14ac:dyDescent="0.25">
      <c r="A174" t="s">
        <v>433</v>
      </c>
      <c r="B174" t="s">
        <v>434</v>
      </c>
      <c r="C174" s="30">
        <v>975.64812097484605</v>
      </c>
      <c r="D174" s="30">
        <v>74.137825311036394</v>
      </c>
    </row>
    <row r="175" spans="1:4" x14ac:dyDescent="0.25">
      <c r="A175" t="s">
        <v>435</v>
      </c>
      <c r="B175" t="s">
        <v>436</v>
      </c>
      <c r="C175" s="30">
        <v>180.86318233930399</v>
      </c>
      <c r="D175" s="30">
        <v>21.4735613686039</v>
      </c>
    </row>
    <row r="176" spans="1:4" x14ac:dyDescent="0.25">
      <c r="A176" t="s">
        <v>437</v>
      </c>
      <c r="B176" t="s">
        <v>438</v>
      </c>
      <c r="C176" s="30">
        <v>8758.0978715991096</v>
      </c>
      <c r="D176" s="30">
        <v>451.59773684033399</v>
      </c>
    </row>
    <row r="177" spans="1:4" x14ac:dyDescent="0.25">
      <c r="A177" t="s">
        <v>439</v>
      </c>
      <c r="B177" t="s">
        <v>440</v>
      </c>
      <c r="C177" s="30">
        <v>6233.1208134381004</v>
      </c>
      <c r="D177" s="30">
        <v>639.00781913793196</v>
      </c>
    </row>
    <row r="178" spans="1:4" x14ac:dyDescent="0.25">
      <c r="A178" t="s">
        <v>441</v>
      </c>
      <c r="B178" t="s">
        <v>442</v>
      </c>
      <c r="C178" s="30">
        <v>3821.7262444008702</v>
      </c>
      <c r="D178" s="30">
        <v>311.93542310603902</v>
      </c>
    </row>
    <row r="179" spans="1:4" x14ac:dyDescent="0.25">
      <c r="A179" t="s">
        <v>443</v>
      </c>
      <c r="B179" t="s">
        <v>444</v>
      </c>
      <c r="C179" s="30">
        <v>115352.595586458</v>
      </c>
      <c r="D179" s="30">
        <v>3567.5789736872698</v>
      </c>
    </row>
    <row r="180" spans="1:4" x14ac:dyDescent="0.25">
      <c r="A180" t="s">
        <v>445</v>
      </c>
      <c r="B180" t="s">
        <v>446</v>
      </c>
      <c r="C180" s="30">
        <v>5360.6017137598601</v>
      </c>
      <c r="D180" s="30">
        <v>135.57919406447101</v>
      </c>
    </row>
    <row r="181" spans="1:4" x14ac:dyDescent="0.25">
      <c r="A181" t="s">
        <v>447</v>
      </c>
      <c r="B181" t="s">
        <v>448</v>
      </c>
      <c r="C181" s="30">
        <v>3628.65235630078</v>
      </c>
      <c r="D181" s="30">
        <v>104.066490642567</v>
      </c>
    </row>
    <row r="182" spans="1:4" x14ac:dyDescent="0.25">
      <c r="A182" t="s">
        <v>449</v>
      </c>
      <c r="B182" t="s">
        <v>450</v>
      </c>
      <c r="C182" s="30">
        <v>822.15935374213404</v>
      </c>
      <c r="D182" s="30">
        <v>46.726509679076003</v>
      </c>
    </row>
    <row r="183" spans="1:4" x14ac:dyDescent="0.25">
      <c r="A183" t="s">
        <v>451</v>
      </c>
      <c r="B183" t="s">
        <v>452</v>
      </c>
      <c r="C183" s="30">
        <v>126.68426851619699</v>
      </c>
      <c r="D183" s="30">
        <v>10.7224371621956</v>
      </c>
    </row>
    <row r="184" spans="1:4" x14ac:dyDescent="0.25">
      <c r="A184" t="s">
        <v>453</v>
      </c>
      <c r="B184" t="s">
        <v>454</v>
      </c>
      <c r="C184" s="30">
        <v>2002.81426663976</v>
      </c>
      <c r="D184" s="30">
        <v>404.49507249478802</v>
      </c>
    </row>
    <row r="185" spans="1:4" x14ac:dyDescent="0.25">
      <c r="A185" t="s">
        <v>455</v>
      </c>
      <c r="B185" t="s">
        <v>456</v>
      </c>
      <c r="C185" s="30">
        <v>10085.635310713</v>
      </c>
      <c r="D185" s="30">
        <v>462.73312507048399</v>
      </c>
    </row>
    <row r="186" spans="1:4" x14ac:dyDescent="0.25">
      <c r="A186" t="s">
        <v>457</v>
      </c>
      <c r="B186" t="s">
        <v>458</v>
      </c>
      <c r="C186" s="30">
        <v>104075.19832607001</v>
      </c>
      <c r="D186" s="30">
        <v>5185.3187225927304</v>
      </c>
    </row>
    <row r="187" spans="1:4" x14ac:dyDescent="0.25">
      <c r="A187" t="s">
        <v>459</v>
      </c>
      <c r="B187" t="s">
        <v>460</v>
      </c>
      <c r="C187" s="30">
        <v>56742.424150401697</v>
      </c>
      <c r="D187" s="30">
        <v>1964.08543592967</v>
      </c>
    </row>
    <row r="188" spans="1:4" x14ac:dyDescent="0.25">
      <c r="A188" t="s">
        <v>461</v>
      </c>
      <c r="B188" t="s">
        <v>462</v>
      </c>
      <c r="C188" s="30">
        <v>31337.2211565744</v>
      </c>
      <c r="D188" s="30">
        <v>2753.9309270239801</v>
      </c>
    </row>
    <row r="189" spans="1:4" x14ac:dyDescent="0.25">
      <c r="A189" t="s">
        <v>463</v>
      </c>
      <c r="B189" t="s">
        <v>464</v>
      </c>
      <c r="C189" s="30">
        <v>21608.891448420301</v>
      </c>
      <c r="D189" s="30">
        <v>2454.9682917898999</v>
      </c>
    </row>
    <row r="190" spans="1:4" x14ac:dyDescent="0.25">
      <c r="A190" t="s">
        <v>465</v>
      </c>
      <c r="B190" t="s">
        <v>466</v>
      </c>
      <c r="C190" s="30">
        <v>99052.960653552</v>
      </c>
      <c r="D190" s="30">
        <v>4948.1519587667699</v>
      </c>
    </row>
    <row r="191" spans="1:4" x14ac:dyDescent="0.25">
      <c r="A191" t="s">
        <v>467</v>
      </c>
      <c r="B191" t="s">
        <v>468</v>
      </c>
      <c r="C191" s="30">
        <v>10017.1340957023</v>
      </c>
      <c r="D191" s="30">
        <v>842.87199338760604</v>
      </c>
    </row>
    <row r="192" spans="1:4" x14ac:dyDescent="0.25">
      <c r="A192" t="s">
        <v>469</v>
      </c>
      <c r="B192" t="s">
        <v>470</v>
      </c>
      <c r="C192" s="30">
        <v>763146.23482239398</v>
      </c>
      <c r="D192" s="30">
        <v>48323.441136884903</v>
      </c>
    </row>
    <row r="193" spans="1:4" x14ac:dyDescent="0.25">
      <c r="A193" t="s">
        <v>471</v>
      </c>
      <c r="B193" t="s">
        <v>472</v>
      </c>
      <c r="C193" s="30">
        <v>22304.9780568274</v>
      </c>
      <c r="D193" s="30">
        <v>410.61295790657698</v>
      </c>
    </row>
    <row r="194" spans="1:4" x14ac:dyDescent="0.25">
      <c r="A194" t="s">
        <v>473</v>
      </c>
      <c r="B194" t="s">
        <v>474</v>
      </c>
      <c r="C194" s="30">
        <v>206.42668892345901</v>
      </c>
      <c r="D194" s="30">
        <v>47.925433604743503</v>
      </c>
    </row>
    <row r="195" spans="1:4" x14ac:dyDescent="0.25">
      <c r="A195" t="s">
        <v>475</v>
      </c>
      <c r="B195" t="s">
        <v>476</v>
      </c>
      <c r="C195" s="30">
        <v>34499.8099228887</v>
      </c>
      <c r="D195" s="30">
        <v>4091.0227984866001</v>
      </c>
    </row>
    <row r="196" spans="1:4" x14ac:dyDescent="0.25">
      <c r="A196" t="s">
        <v>477</v>
      </c>
      <c r="B196" t="s">
        <v>478</v>
      </c>
      <c r="C196" s="30">
        <v>112271.02173162901</v>
      </c>
      <c r="D196" s="30">
        <v>2909.9287300608398</v>
      </c>
    </row>
    <row r="197" spans="1:4" x14ac:dyDescent="0.25">
      <c r="A197" t="s">
        <v>479</v>
      </c>
      <c r="B197" t="s">
        <v>480</v>
      </c>
      <c r="C197" s="30">
        <v>224.72169721485099</v>
      </c>
      <c r="D197" s="30">
        <v>17.591915550579401</v>
      </c>
    </row>
    <row r="198" spans="1:4" x14ac:dyDescent="0.25">
      <c r="A198" t="s">
        <v>481</v>
      </c>
      <c r="B198" t="s">
        <v>482</v>
      </c>
      <c r="C198" s="30">
        <v>12660.2495513799</v>
      </c>
      <c r="D198" s="30">
        <v>538.04459447826298</v>
      </c>
    </row>
    <row r="199" spans="1:4" x14ac:dyDescent="0.25">
      <c r="A199" t="s">
        <v>483</v>
      </c>
      <c r="B199" t="s">
        <v>484</v>
      </c>
      <c r="C199" s="30">
        <v>54573.5869925484</v>
      </c>
      <c r="D199" s="30">
        <v>5556.2775276645398</v>
      </c>
    </row>
    <row r="200" spans="1:4" x14ac:dyDescent="0.25">
      <c r="A200" t="s">
        <v>485</v>
      </c>
      <c r="B200" t="s">
        <v>486</v>
      </c>
      <c r="C200" s="30">
        <v>9767.5175758834794</v>
      </c>
      <c r="D200" s="30">
        <v>702.10467087639699</v>
      </c>
    </row>
    <row r="201" spans="1:4" x14ac:dyDescent="0.25">
      <c r="A201" t="s">
        <v>487</v>
      </c>
      <c r="B201" t="s">
        <v>488</v>
      </c>
      <c r="C201" s="30">
        <v>12314.563595838301</v>
      </c>
      <c r="D201" s="30">
        <v>1211.11496567266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X207"/>
  <sheetViews>
    <sheetView zoomScaleNormal="100" workbookViewId="0">
      <selection activeCell="L27" sqref="L27"/>
    </sheetView>
  </sheetViews>
  <sheetFormatPr baseColWidth="10" defaultColWidth="11.44140625" defaultRowHeight="13.2" x14ac:dyDescent="0.25"/>
  <cols>
    <col min="1" max="1" width="6.88671875" customWidth="1"/>
    <col min="2" max="2" width="23.33203125" customWidth="1"/>
    <col min="3" max="3" width="16.88671875" customWidth="1"/>
    <col min="4" max="4" width="9.77734375" customWidth="1"/>
    <col min="5" max="5" width="18.21875" customWidth="1"/>
    <col min="6" max="1012" width="11.44140625" style="1"/>
    <col min="1013" max="1014" width="8.5546875" customWidth="1"/>
    <col min="1015" max="1025" width="10.109375" customWidth="1"/>
  </cols>
  <sheetData>
    <row r="1" spans="1:7" ht="17.399999999999999" x14ac:dyDescent="0.3">
      <c r="A1" s="4" t="s">
        <v>489</v>
      </c>
      <c r="D1" s="29"/>
      <c r="E1" s="29"/>
    </row>
    <row r="2" spans="1:7" ht="15.6" x14ac:dyDescent="0.3">
      <c r="A2" s="28" t="s">
        <v>490</v>
      </c>
      <c r="D2" s="29"/>
      <c r="E2" s="29"/>
    </row>
    <row r="3" spans="1:7" x14ac:dyDescent="0.25">
      <c r="D3" s="29"/>
      <c r="E3" s="29"/>
    </row>
    <row r="4" spans="1:7" x14ac:dyDescent="0.25">
      <c r="A4" s="15" t="s">
        <v>99</v>
      </c>
      <c r="B4" s="1" t="s">
        <v>100</v>
      </c>
      <c r="C4" s="1"/>
      <c r="D4" s="29"/>
      <c r="E4" s="29"/>
    </row>
    <row r="5" spans="1:7" x14ac:dyDescent="0.25">
      <c r="A5" s="15" t="s">
        <v>491</v>
      </c>
      <c r="B5" s="1" t="s">
        <v>492</v>
      </c>
      <c r="C5" s="1"/>
      <c r="D5" s="29"/>
      <c r="E5" s="29"/>
    </row>
    <row r="6" spans="1:7" x14ac:dyDescent="0.25">
      <c r="A6" s="15" t="s">
        <v>39</v>
      </c>
      <c r="B6" s="1" t="s">
        <v>493</v>
      </c>
      <c r="C6" s="1"/>
      <c r="D6" s="29"/>
      <c r="E6" s="29"/>
    </row>
    <row r="7" spans="1:7" x14ac:dyDescent="0.25">
      <c r="A7" s="29"/>
      <c r="B7" s="29"/>
      <c r="C7" s="29"/>
      <c r="D7" s="29"/>
      <c r="E7" s="29"/>
    </row>
    <row r="8" spans="1:7" x14ac:dyDescent="0.25">
      <c r="A8" s="29"/>
      <c r="B8" s="29"/>
      <c r="C8" s="29"/>
      <c r="D8" s="29"/>
      <c r="E8" s="29"/>
    </row>
    <row r="9" spans="1:7" x14ac:dyDescent="0.25">
      <c r="A9" s="29"/>
      <c r="B9" s="29"/>
      <c r="C9" s="29"/>
      <c r="D9" s="29"/>
      <c r="E9" s="29"/>
    </row>
    <row r="10" spans="1:7" x14ac:dyDescent="0.25">
      <c r="A10" s="29" t="s">
        <v>99</v>
      </c>
      <c r="B10" s="29" t="s">
        <v>106</v>
      </c>
      <c r="C10" s="29" t="s">
        <v>39</v>
      </c>
      <c r="D10" s="29" t="s">
        <v>491</v>
      </c>
      <c r="E10" s="29" t="s">
        <v>552</v>
      </c>
      <c r="F10" s="43" t="s">
        <v>41</v>
      </c>
      <c r="G10" s="43" t="s">
        <v>43</v>
      </c>
    </row>
    <row r="11" spans="1:7" x14ac:dyDescent="0.25">
      <c r="A11" t="s">
        <v>321</v>
      </c>
      <c r="B11" t="s">
        <v>322</v>
      </c>
      <c r="C11" s="30">
        <v>81.073999999999998</v>
      </c>
      <c r="D11" s="30">
        <v>79.209999999999994</v>
      </c>
      <c r="E11" s="42">
        <f t="shared" ref="E11:E42" si="0" xml:space="preserve"> 0.927*C11 + 0.2388</f>
        <v>75.394397999999995</v>
      </c>
      <c r="F11" s="44">
        <f t="shared" ref="F11:F42" si="1">D11-E11</f>
        <v>3.8156019999999984</v>
      </c>
      <c r="G11" s="46">
        <f t="shared" ref="G11:G42" si="2">F11/E11</f>
        <v>5.0608561129435618E-2</v>
      </c>
    </row>
    <row r="12" spans="1:7" x14ac:dyDescent="0.25">
      <c r="A12" t="s">
        <v>441</v>
      </c>
      <c r="B12" t="s">
        <v>442</v>
      </c>
      <c r="C12" s="30">
        <v>60.646000000000001</v>
      </c>
      <c r="D12" s="30">
        <v>59.829000000000001</v>
      </c>
      <c r="E12" s="42">
        <f t="shared" si="0"/>
        <v>56.457642</v>
      </c>
      <c r="F12" s="44">
        <f t="shared" si="1"/>
        <v>3.3713580000000007</v>
      </c>
      <c r="G12" s="46">
        <f t="shared" si="2"/>
        <v>5.9714821245988287E-2</v>
      </c>
    </row>
    <row r="13" spans="1:7" x14ac:dyDescent="0.25">
      <c r="A13" t="s">
        <v>393</v>
      </c>
      <c r="B13" t="s">
        <v>394</v>
      </c>
      <c r="C13" s="30">
        <v>82.462000000000003</v>
      </c>
      <c r="D13" s="30">
        <v>80.028000000000006</v>
      </c>
      <c r="E13" s="42">
        <f t="shared" si="0"/>
        <v>76.68107400000001</v>
      </c>
      <c r="F13" s="44">
        <f t="shared" si="1"/>
        <v>3.3469259999999963</v>
      </c>
      <c r="G13" s="46">
        <f t="shared" si="2"/>
        <v>4.3647354235022792E-2</v>
      </c>
    </row>
    <row r="14" spans="1:7" x14ac:dyDescent="0.25">
      <c r="A14" t="s">
        <v>141</v>
      </c>
      <c r="B14" t="s">
        <v>142</v>
      </c>
      <c r="C14" s="30">
        <v>81.194999999999993</v>
      </c>
      <c r="D14" s="30">
        <v>78.816000000000003</v>
      </c>
      <c r="E14" s="42">
        <f t="shared" si="0"/>
        <v>75.506564999999995</v>
      </c>
      <c r="F14" s="44">
        <f t="shared" si="1"/>
        <v>3.3094350000000077</v>
      </c>
      <c r="G14" s="46">
        <f t="shared" si="2"/>
        <v>4.3829765001228808E-2</v>
      </c>
    </row>
    <row r="15" spans="1:7" x14ac:dyDescent="0.25">
      <c r="A15" t="s">
        <v>353</v>
      </c>
      <c r="B15" t="s">
        <v>354</v>
      </c>
      <c r="C15" s="30">
        <v>52.77</v>
      </c>
      <c r="D15" s="30">
        <v>52.331000000000003</v>
      </c>
      <c r="E15" s="42">
        <f t="shared" si="0"/>
        <v>49.156590000000001</v>
      </c>
      <c r="F15" s="44">
        <f t="shared" si="1"/>
        <v>3.1744100000000017</v>
      </c>
      <c r="G15" s="46">
        <f t="shared" si="2"/>
        <v>6.4577506291628478E-2</v>
      </c>
    </row>
    <row r="16" spans="1:7" x14ac:dyDescent="0.25">
      <c r="A16" t="s">
        <v>205</v>
      </c>
      <c r="B16" t="s">
        <v>206</v>
      </c>
      <c r="C16" s="30">
        <v>77.204999999999998</v>
      </c>
      <c r="D16" s="30">
        <v>74.965999999999994</v>
      </c>
      <c r="E16" s="42">
        <f t="shared" si="0"/>
        <v>71.807834999999997</v>
      </c>
      <c r="F16" s="44">
        <f t="shared" si="1"/>
        <v>3.1581649999999968</v>
      </c>
      <c r="G16" s="46">
        <f t="shared" si="2"/>
        <v>4.3980785662177349E-2</v>
      </c>
    </row>
    <row r="17" spans="1:7" x14ac:dyDescent="0.25">
      <c r="A17" t="s">
        <v>357</v>
      </c>
      <c r="B17" t="s">
        <v>358</v>
      </c>
      <c r="C17" s="30">
        <v>83.4</v>
      </c>
      <c r="D17" s="30">
        <v>80.3</v>
      </c>
      <c r="E17" s="42">
        <f t="shared" si="0"/>
        <v>77.550600000000003</v>
      </c>
      <c r="F17" s="44">
        <f t="shared" si="1"/>
        <v>2.7493999999999943</v>
      </c>
      <c r="G17" s="46">
        <f t="shared" si="2"/>
        <v>3.5452981666163695E-2</v>
      </c>
    </row>
    <row r="18" spans="1:7" x14ac:dyDescent="0.25">
      <c r="A18" t="s">
        <v>267</v>
      </c>
      <c r="B18" t="s">
        <v>268</v>
      </c>
      <c r="C18" s="30">
        <v>84.5</v>
      </c>
      <c r="D18" s="30">
        <v>81.3</v>
      </c>
      <c r="E18" s="42">
        <f t="shared" si="0"/>
        <v>78.570300000000003</v>
      </c>
      <c r="F18" s="44">
        <f t="shared" si="1"/>
        <v>2.729699999999994</v>
      </c>
      <c r="G18" s="46">
        <f t="shared" si="2"/>
        <v>3.474213538703548E-2</v>
      </c>
    </row>
    <row r="19" spans="1:7" x14ac:dyDescent="0.25">
      <c r="A19" t="s">
        <v>351</v>
      </c>
      <c r="B19" t="s">
        <v>352</v>
      </c>
      <c r="C19" s="30">
        <v>63.295000000000002</v>
      </c>
      <c r="D19" s="30">
        <v>61.610999999999997</v>
      </c>
      <c r="E19" s="42">
        <f t="shared" si="0"/>
        <v>58.913265000000003</v>
      </c>
      <c r="F19" s="44">
        <f t="shared" si="1"/>
        <v>2.6977349999999944</v>
      </c>
      <c r="G19" s="46">
        <f t="shared" si="2"/>
        <v>4.579163962479408E-2</v>
      </c>
    </row>
    <row r="20" spans="1:7" x14ac:dyDescent="0.25">
      <c r="A20" t="s">
        <v>401</v>
      </c>
      <c r="B20" t="s">
        <v>402</v>
      </c>
      <c r="C20" s="30">
        <v>78.911000000000001</v>
      </c>
      <c r="D20" s="30">
        <v>75.921000000000006</v>
      </c>
      <c r="E20" s="42">
        <f t="shared" si="0"/>
        <v>73.389296999999999</v>
      </c>
      <c r="F20" s="44">
        <f t="shared" si="1"/>
        <v>2.5317030000000074</v>
      </c>
      <c r="G20" s="46">
        <f t="shared" si="2"/>
        <v>3.4496896734138326E-2</v>
      </c>
    </row>
    <row r="21" spans="1:7" x14ac:dyDescent="0.25">
      <c r="A21" t="s">
        <v>359</v>
      </c>
      <c r="B21" t="s">
        <v>360</v>
      </c>
      <c r="C21" s="30">
        <v>84.5</v>
      </c>
      <c r="D21" s="30">
        <v>81.099999999999994</v>
      </c>
      <c r="E21" s="42">
        <f t="shared" si="0"/>
        <v>78.570300000000003</v>
      </c>
      <c r="F21" s="44">
        <f t="shared" si="1"/>
        <v>2.5296999999999912</v>
      </c>
      <c r="G21" s="46">
        <f t="shared" si="2"/>
        <v>3.2196644279072262E-2</v>
      </c>
    </row>
    <row r="22" spans="1:7" x14ac:dyDescent="0.25">
      <c r="A22" t="s">
        <v>431</v>
      </c>
      <c r="B22" t="s">
        <v>432</v>
      </c>
      <c r="C22" s="30">
        <v>84.3</v>
      </c>
      <c r="D22" s="30">
        <v>80.900000000000006</v>
      </c>
      <c r="E22" s="42">
        <f t="shared" si="0"/>
        <v>78.384900000000002</v>
      </c>
      <c r="F22" s="44">
        <f t="shared" si="1"/>
        <v>2.5151000000000039</v>
      </c>
      <c r="G22" s="46">
        <f t="shared" si="2"/>
        <v>3.2086537075380638E-2</v>
      </c>
    </row>
    <row r="23" spans="1:7" x14ac:dyDescent="0.25">
      <c r="A23" t="s">
        <v>191</v>
      </c>
      <c r="B23" t="s">
        <v>192</v>
      </c>
      <c r="C23" s="30">
        <v>83.058000000000007</v>
      </c>
      <c r="D23" s="30">
        <v>79.67</v>
      </c>
      <c r="E23" s="42">
        <f t="shared" si="0"/>
        <v>77.23356600000001</v>
      </c>
      <c r="F23" s="44">
        <f t="shared" si="1"/>
        <v>2.4364339999999913</v>
      </c>
      <c r="G23" s="46">
        <f t="shared" si="2"/>
        <v>3.1546309800067902E-2</v>
      </c>
    </row>
    <row r="24" spans="1:7" x14ac:dyDescent="0.25">
      <c r="A24" t="s">
        <v>365</v>
      </c>
      <c r="B24" t="s">
        <v>366</v>
      </c>
      <c r="C24" s="30">
        <v>83.5</v>
      </c>
      <c r="D24" s="30">
        <v>80</v>
      </c>
      <c r="E24" s="42">
        <f t="shared" si="0"/>
        <v>77.643299999999996</v>
      </c>
      <c r="F24" s="44">
        <f t="shared" si="1"/>
        <v>2.3567000000000036</v>
      </c>
      <c r="G24" s="46">
        <f t="shared" si="2"/>
        <v>3.0352908750658509E-2</v>
      </c>
    </row>
    <row r="25" spans="1:7" x14ac:dyDescent="0.25">
      <c r="A25" t="s">
        <v>259</v>
      </c>
      <c r="B25" t="s">
        <v>260</v>
      </c>
      <c r="C25" s="30">
        <v>72.141999999999996</v>
      </c>
      <c r="D25" s="30">
        <v>69.367000000000004</v>
      </c>
      <c r="E25" s="42">
        <f t="shared" si="0"/>
        <v>67.114434000000003</v>
      </c>
      <c r="F25" s="44">
        <f t="shared" si="1"/>
        <v>2.2525660000000016</v>
      </c>
      <c r="G25" s="46">
        <f t="shared" si="2"/>
        <v>3.3563063349383256E-2</v>
      </c>
    </row>
    <row r="26" spans="1:7" x14ac:dyDescent="0.25">
      <c r="A26" t="s">
        <v>367</v>
      </c>
      <c r="B26" t="s">
        <v>368</v>
      </c>
      <c r="C26" s="30">
        <v>79.897999999999996</v>
      </c>
      <c r="D26" s="30">
        <v>76.534000000000006</v>
      </c>
      <c r="E26" s="42">
        <f t="shared" si="0"/>
        <v>74.304245999999992</v>
      </c>
      <c r="F26" s="44">
        <f t="shared" si="1"/>
        <v>2.229754000000014</v>
      </c>
      <c r="G26" s="46">
        <f t="shared" si="2"/>
        <v>3.0008433165448097E-2</v>
      </c>
    </row>
    <row r="27" spans="1:7" x14ac:dyDescent="0.25">
      <c r="A27" t="s">
        <v>227</v>
      </c>
      <c r="B27" t="s">
        <v>228</v>
      </c>
      <c r="C27" s="30">
        <v>83.1</v>
      </c>
      <c r="D27" s="30">
        <v>79.5</v>
      </c>
      <c r="E27" s="42">
        <f t="shared" si="0"/>
        <v>77.272499999999994</v>
      </c>
      <c r="F27" s="44">
        <f t="shared" si="1"/>
        <v>2.2275000000000063</v>
      </c>
      <c r="G27" s="46">
        <f t="shared" si="2"/>
        <v>2.8826555372221768E-2</v>
      </c>
    </row>
    <row r="28" spans="1:7" x14ac:dyDescent="0.25">
      <c r="A28" t="s">
        <v>167</v>
      </c>
      <c r="B28" t="s">
        <v>168</v>
      </c>
      <c r="C28" s="30">
        <v>85.7</v>
      </c>
      <c r="D28" s="30">
        <v>81.900000000000006</v>
      </c>
      <c r="E28" s="42">
        <f t="shared" si="0"/>
        <v>79.682700000000011</v>
      </c>
      <c r="F28" s="44">
        <f t="shared" si="1"/>
        <v>2.2172999999999945</v>
      </c>
      <c r="G28" s="46">
        <f t="shared" si="2"/>
        <v>2.782661732094914E-2</v>
      </c>
    </row>
    <row r="29" spans="1:7" x14ac:dyDescent="0.25">
      <c r="A29" t="s">
        <v>261</v>
      </c>
      <c r="B29" t="s">
        <v>262</v>
      </c>
      <c r="C29" s="30">
        <v>84.1</v>
      </c>
      <c r="D29" s="30">
        <v>80.400000000000006</v>
      </c>
      <c r="E29" s="42">
        <f t="shared" si="0"/>
        <v>78.1995</v>
      </c>
      <c r="F29" s="44">
        <f t="shared" si="1"/>
        <v>2.2005000000000052</v>
      </c>
      <c r="G29" s="46">
        <f t="shared" si="2"/>
        <v>2.8139566109757801E-2</v>
      </c>
    </row>
    <row r="30" spans="1:7" x14ac:dyDescent="0.25">
      <c r="A30" t="s">
        <v>233</v>
      </c>
      <c r="B30" t="s">
        <v>234</v>
      </c>
      <c r="C30" s="30">
        <v>60.298000000000002</v>
      </c>
      <c r="D30" s="30">
        <v>58.326000000000001</v>
      </c>
      <c r="E30" s="42">
        <f t="shared" si="0"/>
        <v>56.135046000000003</v>
      </c>
      <c r="F30" s="44">
        <f t="shared" si="1"/>
        <v>2.1909539999999978</v>
      </c>
      <c r="G30" s="46">
        <f t="shared" si="2"/>
        <v>3.9030056196978941E-2</v>
      </c>
    </row>
    <row r="31" spans="1:7" x14ac:dyDescent="0.25">
      <c r="A31" t="s">
        <v>179</v>
      </c>
      <c r="B31" t="s">
        <v>498</v>
      </c>
      <c r="C31" s="30">
        <v>65.266999999999996</v>
      </c>
      <c r="D31" s="30">
        <v>62.834000000000003</v>
      </c>
      <c r="E31" s="42">
        <f t="shared" si="0"/>
        <v>60.741308999999994</v>
      </c>
      <c r="F31" s="44">
        <f t="shared" si="1"/>
        <v>2.0926910000000092</v>
      </c>
      <c r="G31" s="46">
        <f t="shared" si="2"/>
        <v>3.445251731404092E-2</v>
      </c>
    </row>
    <row r="32" spans="1:7" x14ac:dyDescent="0.25">
      <c r="A32" t="s">
        <v>269</v>
      </c>
      <c r="B32" t="s">
        <v>270</v>
      </c>
      <c r="C32" s="30">
        <v>84.8</v>
      </c>
      <c r="D32" s="30">
        <v>80.900000000000006</v>
      </c>
      <c r="E32" s="42">
        <f t="shared" si="0"/>
        <v>78.848399999999998</v>
      </c>
      <c r="F32" s="44">
        <f t="shared" si="1"/>
        <v>2.0516000000000076</v>
      </c>
      <c r="G32" s="46">
        <f t="shared" si="2"/>
        <v>2.6019551443022405E-2</v>
      </c>
    </row>
    <row r="33" spans="1:7" x14ac:dyDescent="0.25">
      <c r="A33" t="s">
        <v>409</v>
      </c>
      <c r="B33" t="s">
        <v>410</v>
      </c>
      <c r="C33" s="30">
        <v>71.736999999999995</v>
      </c>
      <c r="D33" s="30">
        <v>68.786000000000001</v>
      </c>
      <c r="E33" s="42">
        <f t="shared" si="0"/>
        <v>66.738998999999993</v>
      </c>
      <c r="F33" s="44">
        <f t="shared" si="1"/>
        <v>2.0470010000000087</v>
      </c>
      <c r="G33" s="46">
        <f t="shared" si="2"/>
        <v>3.0671736625837151E-2</v>
      </c>
    </row>
    <row r="34" spans="1:7" x14ac:dyDescent="0.25">
      <c r="A34" t="s">
        <v>173</v>
      </c>
      <c r="B34" t="s">
        <v>496</v>
      </c>
      <c r="C34" s="30">
        <v>59.94</v>
      </c>
      <c r="D34" s="30">
        <v>57.845999999999997</v>
      </c>
      <c r="E34" s="42">
        <f t="shared" si="0"/>
        <v>55.803179999999998</v>
      </c>
      <c r="F34" s="44">
        <f t="shared" si="1"/>
        <v>2.042819999999999</v>
      </c>
      <c r="G34" s="46">
        <f t="shared" si="2"/>
        <v>3.6607591180287558E-2</v>
      </c>
    </row>
    <row r="35" spans="1:7" x14ac:dyDescent="0.25">
      <c r="A35" t="s">
        <v>295</v>
      </c>
      <c r="B35" t="s">
        <v>296</v>
      </c>
      <c r="C35" s="30">
        <v>81.454999999999998</v>
      </c>
      <c r="D35" s="30">
        <v>77.784000000000006</v>
      </c>
      <c r="E35" s="42">
        <f t="shared" si="0"/>
        <v>75.747585000000001</v>
      </c>
      <c r="F35" s="44">
        <f t="shared" si="1"/>
        <v>2.0364150000000052</v>
      </c>
      <c r="G35" s="46">
        <f t="shared" si="2"/>
        <v>2.6884223437618576E-2</v>
      </c>
    </row>
    <row r="36" spans="1:7" x14ac:dyDescent="0.25">
      <c r="A36" t="s">
        <v>235</v>
      </c>
      <c r="B36" t="s">
        <v>504</v>
      </c>
      <c r="C36" s="30">
        <v>64.251000000000005</v>
      </c>
      <c r="D36" s="30">
        <v>61.826000000000001</v>
      </c>
      <c r="E36" s="42">
        <f t="shared" si="0"/>
        <v>59.799477000000003</v>
      </c>
      <c r="F36" s="44">
        <f t="shared" si="1"/>
        <v>2.0265229999999974</v>
      </c>
      <c r="G36" s="46">
        <f t="shared" si="2"/>
        <v>3.3888640865537958E-2</v>
      </c>
    </row>
    <row r="37" spans="1:7" x14ac:dyDescent="0.25">
      <c r="A37" t="s">
        <v>201</v>
      </c>
      <c r="B37" t="s">
        <v>202</v>
      </c>
      <c r="C37" s="30">
        <v>82.9</v>
      </c>
      <c r="D37" s="30">
        <v>79.099999999999994</v>
      </c>
      <c r="E37" s="42">
        <f t="shared" si="0"/>
        <v>77.087100000000007</v>
      </c>
      <c r="F37" s="44">
        <f t="shared" si="1"/>
        <v>2.0128999999999877</v>
      </c>
      <c r="G37" s="46">
        <f t="shared" si="2"/>
        <v>2.6112021336903161E-2</v>
      </c>
    </row>
    <row r="38" spans="1:7" x14ac:dyDescent="0.25">
      <c r="A38" t="s">
        <v>509</v>
      </c>
      <c r="B38" t="s">
        <v>510</v>
      </c>
      <c r="C38" s="30">
        <v>82.488</v>
      </c>
      <c r="D38" s="30">
        <v>78.709000000000003</v>
      </c>
      <c r="E38" s="42">
        <f t="shared" si="0"/>
        <v>76.705175999999994</v>
      </c>
      <c r="F38" s="44">
        <f t="shared" si="1"/>
        <v>2.0038240000000087</v>
      </c>
      <c r="G38" s="46">
        <f t="shared" si="2"/>
        <v>2.6123712955172788E-2</v>
      </c>
    </row>
    <row r="39" spans="1:7" x14ac:dyDescent="0.25">
      <c r="A39" t="s">
        <v>115</v>
      </c>
      <c r="B39" t="s">
        <v>116</v>
      </c>
      <c r="C39" s="30">
        <v>81.790000000000006</v>
      </c>
      <c r="D39" s="30">
        <v>78.028000000000006</v>
      </c>
      <c r="E39" s="42">
        <f t="shared" si="0"/>
        <v>76.058130000000006</v>
      </c>
      <c r="F39" s="44">
        <f t="shared" si="1"/>
        <v>1.9698700000000002</v>
      </c>
      <c r="G39" s="46">
        <f t="shared" si="2"/>
        <v>2.589953237083268E-2</v>
      </c>
    </row>
    <row r="40" spans="1:7" x14ac:dyDescent="0.25">
      <c r="A40" t="s">
        <v>133</v>
      </c>
      <c r="B40" t="s">
        <v>134</v>
      </c>
      <c r="C40" s="30">
        <v>61.353999999999999</v>
      </c>
      <c r="D40" s="30">
        <v>58.915999999999997</v>
      </c>
      <c r="E40" s="42">
        <f t="shared" si="0"/>
        <v>57.113957999999997</v>
      </c>
      <c r="F40" s="44">
        <f t="shared" si="1"/>
        <v>1.8020420000000001</v>
      </c>
      <c r="G40" s="46">
        <f t="shared" si="2"/>
        <v>3.1551691794849873E-2</v>
      </c>
    </row>
    <row r="41" spans="1:7" x14ac:dyDescent="0.25">
      <c r="A41" t="s">
        <v>159</v>
      </c>
      <c r="B41" t="s">
        <v>160</v>
      </c>
      <c r="C41" s="30">
        <v>72.914000000000001</v>
      </c>
      <c r="D41" s="30">
        <v>69.602000000000004</v>
      </c>
      <c r="E41" s="42">
        <f t="shared" si="0"/>
        <v>67.830078</v>
      </c>
      <c r="F41" s="44">
        <f t="shared" si="1"/>
        <v>1.7719220000000035</v>
      </c>
      <c r="G41" s="46">
        <f t="shared" si="2"/>
        <v>2.6122953890750405E-2</v>
      </c>
    </row>
    <row r="42" spans="1:7" x14ac:dyDescent="0.25">
      <c r="A42" t="s">
        <v>123</v>
      </c>
      <c r="B42" t="s">
        <v>124</v>
      </c>
      <c r="C42" s="30">
        <v>84.9</v>
      </c>
      <c r="D42" s="30">
        <v>80.7</v>
      </c>
      <c r="E42" s="42">
        <f t="shared" si="0"/>
        <v>78.941100000000006</v>
      </c>
      <c r="F42" s="44">
        <f t="shared" si="1"/>
        <v>1.758899999999997</v>
      </c>
      <c r="G42" s="46">
        <f t="shared" si="2"/>
        <v>2.228116912482847E-2</v>
      </c>
    </row>
    <row r="43" spans="1:7" x14ac:dyDescent="0.25">
      <c r="A43" t="s">
        <v>331</v>
      </c>
      <c r="B43" t="s">
        <v>332</v>
      </c>
      <c r="C43" s="30">
        <v>84.6</v>
      </c>
      <c r="D43" s="30">
        <v>80.400000000000006</v>
      </c>
      <c r="E43" s="42">
        <f t="shared" ref="E43:E74" si="3" xml:space="preserve"> 0.927*C43 + 0.2388</f>
        <v>78.662999999999997</v>
      </c>
      <c r="F43" s="44">
        <f t="shared" ref="F43:F74" si="4">D43-E43</f>
        <v>1.737000000000009</v>
      </c>
      <c r="G43" s="46">
        <f t="shared" ref="G43:G74" si="5">F43/E43</f>
        <v>2.2081537698791162E-2</v>
      </c>
    </row>
    <row r="44" spans="1:7" x14ac:dyDescent="0.25">
      <c r="A44" t="s">
        <v>137</v>
      </c>
      <c r="B44" t="s">
        <v>138</v>
      </c>
      <c r="C44" s="30">
        <v>74.346000000000004</v>
      </c>
      <c r="D44" s="30">
        <v>70.888999999999996</v>
      </c>
      <c r="E44" s="42">
        <f t="shared" si="3"/>
        <v>69.157542000000007</v>
      </c>
      <c r="F44" s="44">
        <f t="shared" si="4"/>
        <v>1.7314579999999893</v>
      </c>
      <c r="G44" s="46">
        <f t="shared" si="5"/>
        <v>2.5036430589161038E-2</v>
      </c>
    </row>
    <row r="45" spans="1:7" x14ac:dyDescent="0.25">
      <c r="A45" t="s">
        <v>291</v>
      </c>
      <c r="B45" t="s">
        <v>292</v>
      </c>
      <c r="C45" s="30">
        <v>82.281000000000006</v>
      </c>
      <c r="D45" s="30">
        <v>78.231999999999999</v>
      </c>
      <c r="E45" s="42">
        <f t="shared" si="3"/>
        <v>76.513287000000005</v>
      </c>
      <c r="F45" s="44">
        <f t="shared" si="4"/>
        <v>1.7187129999999939</v>
      </c>
      <c r="G45" s="46">
        <f t="shared" si="5"/>
        <v>2.2462935097795417E-2</v>
      </c>
    </row>
    <row r="46" spans="1:7" x14ac:dyDescent="0.25">
      <c r="A46" t="s">
        <v>407</v>
      </c>
      <c r="B46" t="s">
        <v>408</v>
      </c>
      <c r="C46" s="30">
        <v>85.5</v>
      </c>
      <c r="D46" s="30">
        <v>81.2</v>
      </c>
      <c r="E46" s="42">
        <f t="shared" si="3"/>
        <v>79.497299999999996</v>
      </c>
      <c r="F46" s="44">
        <f t="shared" si="4"/>
        <v>1.7027000000000072</v>
      </c>
      <c r="G46" s="46">
        <f t="shared" si="5"/>
        <v>2.1418337478128279E-2</v>
      </c>
    </row>
    <row r="47" spans="1:7" x14ac:dyDescent="0.25">
      <c r="A47" t="s">
        <v>165</v>
      </c>
      <c r="B47" t="s">
        <v>166</v>
      </c>
      <c r="C47" s="30">
        <v>83.99</v>
      </c>
      <c r="D47" s="30">
        <v>79.8</v>
      </c>
      <c r="E47" s="42">
        <f t="shared" si="3"/>
        <v>78.097529999999992</v>
      </c>
      <c r="F47" s="44">
        <f t="shared" si="4"/>
        <v>1.7024700000000053</v>
      </c>
      <c r="G47" s="46">
        <f t="shared" si="5"/>
        <v>2.1799280975979718E-2</v>
      </c>
    </row>
    <row r="48" spans="1:7" x14ac:dyDescent="0.25">
      <c r="A48" t="s">
        <v>297</v>
      </c>
      <c r="B48" t="s">
        <v>298</v>
      </c>
      <c r="C48" s="30">
        <v>62.164000000000001</v>
      </c>
      <c r="D48" s="30">
        <v>59.524999999999999</v>
      </c>
      <c r="E48" s="42">
        <f t="shared" si="3"/>
        <v>57.864828000000003</v>
      </c>
      <c r="F48" s="44">
        <f t="shared" si="4"/>
        <v>1.6601719999999958</v>
      </c>
      <c r="G48" s="46">
        <f t="shared" si="5"/>
        <v>2.8690519913063522E-2</v>
      </c>
    </row>
    <row r="49" spans="1:7" x14ac:dyDescent="0.25">
      <c r="A49" t="s">
        <v>329</v>
      </c>
      <c r="B49" t="s">
        <v>330</v>
      </c>
      <c r="C49" s="30">
        <v>60.694000000000003</v>
      </c>
      <c r="D49" s="30">
        <v>58.14</v>
      </c>
      <c r="E49" s="42">
        <f t="shared" si="3"/>
        <v>56.502138000000002</v>
      </c>
      <c r="F49" s="44">
        <f t="shared" si="4"/>
        <v>1.6378619999999984</v>
      </c>
      <c r="G49" s="46">
        <f t="shared" si="5"/>
        <v>2.8987611052877296E-2</v>
      </c>
    </row>
    <row r="50" spans="1:7" x14ac:dyDescent="0.25">
      <c r="A50" t="s">
        <v>449</v>
      </c>
      <c r="B50" t="s">
        <v>450</v>
      </c>
      <c r="C50" s="30">
        <v>69.701999999999998</v>
      </c>
      <c r="D50" s="30">
        <v>66.468000000000004</v>
      </c>
      <c r="E50" s="42">
        <f t="shared" si="3"/>
        <v>64.852553999999998</v>
      </c>
      <c r="F50" s="44">
        <f t="shared" si="4"/>
        <v>1.6154460000000057</v>
      </c>
      <c r="G50" s="46">
        <f t="shared" si="5"/>
        <v>2.4909520140101279E-2</v>
      </c>
    </row>
    <row r="51" spans="1:7" x14ac:dyDescent="0.25">
      <c r="A51" t="s">
        <v>271</v>
      </c>
      <c r="B51" t="s">
        <v>272</v>
      </c>
      <c r="C51" s="30">
        <v>85.6</v>
      </c>
      <c r="D51" s="30">
        <v>81.2</v>
      </c>
      <c r="E51" s="42">
        <f t="shared" si="3"/>
        <v>79.59</v>
      </c>
      <c r="F51" s="44">
        <f t="shared" si="4"/>
        <v>1.6099999999999994</v>
      </c>
      <c r="G51" s="46">
        <f t="shared" si="5"/>
        <v>2.0228671943711512E-2</v>
      </c>
    </row>
    <row r="52" spans="1:7" x14ac:dyDescent="0.25">
      <c r="A52" t="s">
        <v>155</v>
      </c>
      <c r="B52" t="s">
        <v>156</v>
      </c>
      <c r="C52" s="30">
        <v>78.957999999999998</v>
      </c>
      <c r="D52" s="30">
        <v>75.013000000000005</v>
      </c>
      <c r="E52" s="42">
        <f t="shared" si="3"/>
        <v>73.432866000000004</v>
      </c>
      <c r="F52" s="44">
        <f t="shared" si="4"/>
        <v>1.580134000000001</v>
      </c>
      <c r="G52" s="46">
        <f t="shared" si="5"/>
        <v>2.1518076115945153E-2</v>
      </c>
    </row>
    <row r="53" spans="1:7" x14ac:dyDescent="0.25">
      <c r="A53" t="s">
        <v>411</v>
      </c>
      <c r="B53" t="s">
        <v>412</v>
      </c>
      <c r="C53" s="30">
        <v>61.167999999999999</v>
      </c>
      <c r="D53" s="30">
        <v>58.418999999999997</v>
      </c>
      <c r="E53" s="42">
        <f t="shared" si="3"/>
        <v>56.941535999999999</v>
      </c>
      <c r="F53" s="44">
        <f t="shared" si="4"/>
        <v>1.4774639999999977</v>
      </c>
      <c r="G53" s="46">
        <f t="shared" si="5"/>
        <v>2.5947034516244832E-2</v>
      </c>
    </row>
    <row r="54" spans="1:7" x14ac:dyDescent="0.25">
      <c r="A54" t="s">
        <v>145</v>
      </c>
      <c r="B54" t="s">
        <v>146</v>
      </c>
      <c r="C54" s="30">
        <v>79.093000000000004</v>
      </c>
      <c r="D54" s="30">
        <v>75.034000000000006</v>
      </c>
      <c r="E54" s="42">
        <f t="shared" si="3"/>
        <v>73.558011000000008</v>
      </c>
      <c r="F54" s="44">
        <f t="shared" si="4"/>
        <v>1.4759889999999984</v>
      </c>
      <c r="G54" s="46">
        <f t="shared" si="5"/>
        <v>2.006564587506313E-2</v>
      </c>
    </row>
    <row r="55" spans="1:7" x14ac:dyDescent="0.25">
      <c r="A55" t="s">
        <v>500</v>
      </c>
      <c r="B55" t="s">
        <v>501</v>
      </c>
      <c r="C55" s="30">
        <v>84.9</v>
      </c>
      <c r="D55" s="30">
        <v>80.400000000000006</v>
      </c>
      <c r="E55" s="42">
        <f t="shared" si="3"/>
        <v>78.941100000000006</v>
      </c>
      <c r="F55" s="44">
        <f t="shared" si="4"/>
        <v>1.4588999999999999</v>
      </c>
      <c r="G55" s="46">
        <f t="shared" si="5"/>
        <v>1.8480867380870038E-2</v>
      </c>
    </row>
    <row r="56" spans="1:7" x14ac:dyDescent="0.25">
      <c r="A56" t="s">
        <v>309</v>
      </c>
      <c r="B56" t="s">
        <v>310</v>
      </c>
      <c r="C56" s="30">
        <v>84.6</v>
      </c>
      <c r="D56" s="30">
        <v>80.099999999999994</v>
      </c>
      <c r="E56" s="42">
        <f t="shared" si="3"/>
        <v>78.662999999999997</v>
      </c>
      <c r="F56" s="44">
        <f t="shared" si="4"/>
        <v>1.4369999999999976</v>
      </c>
      <c r="G56" s="46">
        <f t="shared" si="5"/>
        <v>1.8267800617825378E-2</v>
      </c>
    </row>
    <row r="57" spans="1:7" x14ac:dyDescent="0.25">
      <c r="A57" t="s">
        <v>361</v>
      </c>
      <c r="B57" t="s">
        <v>362</v>
      </c>
      <c r="C57" s="30">
        <v>70.718999999999994</v>
      </c>
      <c r="D57" s="30">
        <v>67.230999999999995</v>
      </c>
      <c r="E57" s="42">
        <f t="shared" si="3"/>
        <v>65.795312999999993</v>
      </c>
      <c r="F57" s="44">
        <f t="shared" si="4"/>
        <v>1.4356870000000015</v>
      </c>
      <c r="G57" s="46">
        <f t="shared" si="5"/>
        <v>2.1820505664286477E-2</v>
      </c>
    </row>
    <row r="58" spans="1:7" x14ac:dyDescent="0.25">
      <c r="A58" t="s">
        <v>375</v>
      </c>
      <c r="B58" t="s">
        <v>376</v>
      </c>
      <c r="C58" s="30">
        <v>73.555999999999997</v>
      </c>
      <c r="D58" s="30">
        <v>69.814999999999998</v>
      </c>
      <c r="E58" s="42">
        <f t="shared" si="3"/>
        <v>68.425212000000002</v>
      </c>
      <c r="F58" s="44">
        <f t="shared" si="4"/>
        <v>1.3897879999999958</v>
      </c>
      <c r="G58" s="46">
        <f t="shared" si="5"/>
        <v>2.0311051429405813E-2</v>
      </c>
    </row>
    <row r="59" spans="1:7" x14ac:dyDescent="0.25">
      <c r="A59" t="s">
        <v>131</v>
      </c>
      <c r="B59" t="s">
        <v>132</v>
      </c>
      <c r="C59" s="30">
        <v>83.9</v>
      </c>
      <c r="D59" s="30">
        <v>79.400000000000006</v>
      </c>
      <c r="E59" s="42">
        <f t="shared" si="3"/>
        <v>78.014100000000013</v>
      </c>
      <c r="F59" s="44">
        <f t="shared" si="4"/>
        <v>1.3858999999999924</v>
      </c>
      <c r="G59" s="46">
        <f t="shared" si="5"/>
        <v>1.7764737400033995E-2</v>
      </c>
    </row>
    <row r="60" spans="1:7" x14ac:dyDescent="0.25">
      <c r="A60" t="s">
        <v>265</v>
      </c>
      <c r="B60" t="s">
        <v>266</v>
      </c>
      <c r="C60" s="30">
        <v>73.293000000000006</v>
      </c>
      <c r="D60" s="30">
        <v>69.558999999999997</v>
      </c>
      <c r="E60" s="42">
        <f t="shared" si="3"/>
        <v>68.181411000000011</v>
      </c>
      <c r="F60" s="44">
        <f t="shared" si="4"/>
        <v>1.3775889999999862</v>
      </c>
      <c r="G60" s="46">
        <f t="shared" si="5"/>
        <v>2.0204759329489175E-2</v>
      </c>
    </row>
    <row r="61" spans="1:7" x14ac:dyDescent="0.25">
      <c r="A61" t="s">
        <v>327</v>
      </c>
      <c r="B61" t="s">
        <v>328</v>
      </c>
      <c r="C61" s="30">
        <v>78.8</v>
      </c>
      <c r="D61" s="30">
        <v>74.599999999999994</v>
      </c>
      <c r="E61" s="42">
        <f t="shared" si="3"/>
        <v>73.2864</v>
      </c>
      <c r="F61" s="44">
        <f t="shared" si="4"/>
        <v>1.3135999999999939</v>
      </c>
      <c r="G61" s="46">
        <f t="shared" si="5"/>
        <v>1.7924198759933545E-2</v>
      </c>
    </row>
    <row r="62" spans="1:7" x14ac:dyDescent="0.25">
      <c r="A62" t="s">
        <v>313</v>
      </c>
      <c r="B62" t="s">
        <v>314</v>
      </c>
      <c r="C62" s="30">
        <v>76.085999999999999</v>
      </c>
      <c r="D62" s="30">
        <v>72.028000000000006</v>
      </c>
      <c r="E62" s="42">
        <f t="shared" si="3"/>
        <v>70.770522</v>
      </c>
      <c r="F62" s="44">
        <f t="shared" si="4"/>
        <v>1.2574780000000061</v>
      </c>
      <c r="G62" s="46">
        <f t="shared" si="5"/>
        <v>1.7768386673762362E-2</v>
      </c>
    </row>
    <row r="63" spans="1:7" x14ac:dyDescent="0.25">
      <c r="A63" t="s">
        <v>325</v>
      </c>
      <c r="B63" t="s">
        <v>326</v>
      </c>
      <c r="C63" s="30">
        <v>66.355000000000004</v>
      </c>
      <c r="D63" s="30">
        <v>62.996000000000002</v>
      </c>
      <c r="E63" s="42">
        <f t="shared" si="3"/>
        <v>61.749885000000006</v>
      </c>
      <c r="F63" s="44">
        <f t="shared" si="4"/>
        <v>1.2461149999999961</v>
      </c>
      <c r="G63" s="46">
        <f t="shared" si="5"/>
        <v>2.0180037582256161E-2</v>
      </c>
    </row>
    <row r="64" spans="1:7" x14ac:dyDescent="0.25">
      <c r="A64" t="s">
        <v>221</v>
      </c>
      <c r="B64" t="s">
        <v>222</v>
      </c>
      <c r="C64" s="30">
        <v>69.664000000000001</v>
      </c>
      <c r="D64" s="30">
        <v>66.031000000000006</v>
      </c>
      <c r="E64" s="42">
        <f t="shared" si="3"/>
        <v>64.817328000000003</v>
      </c>
      <c r="F64" s="44">
        <f t="shared" si="4"/>
        <v>1.2136720000000025</v>
      </c>
      <c r="G64" s="46">
        <f t="shared" si="5"/>
        <v>1.8724499103079387E-2</v>
      </c>
    </row>
    <row r="65" spans="1:7" x14ac:dyDescent="0.25">
      <c r="A65" t="s">
        <v>513</v>
      </c>
      <c r="B65" t="s">
        <v>514</v>
      </c>
      <c r="C65" s="30">
        <v>68.521000000000001</v>
      </c>
      <c r="D65" s="30">
        <v>64.97</v>
      </c>
      <c r="E65" s="42">
        <f t="shared" si="3"/>
        <v>63.757767000000001</v>
      </c>
      <c r="F65" s="44">
        <f t="shared" si="4"/>
        <v>1.2122329999999977</v>
      </c>
      <c r="G65" s="46">
        <f t="shared" si="5"/>
        <v>1.9013103140829848E-2</v>
      </c>
    </row>
    <row r="66" spans="1:7" x14ac:dyDescent="0.25">
      <c r="A66" t="s">
        <v>519</v>
      </c>
      <c r="B66" t="s">
        <v>520</v>
      </c>
      <c r="C66" s="30">
        <v>85.5</v>
      </c>
      <c r="D66" s="30">
        <v>80.7</v>
      </c>
      <c r="E66" s="42">
        <f t="shared" si="3"/>
        <v>79.497299999999996</v>
      </c>
      <c r="F66" s="44">
        <f t="shared" si="4"/>
        <v>1.2027000000000072</v>
      </c>
      <c r="G66" s="46">
        <f t="shared" si="5"/>
        <v>1.512881569562749E-2</v>
      </c>
    </row>
    <row r="67" spans="1:7" x14ac:dyDescent="0.25">
      <c r="A67" t="s">
        <v>125</v>
      </c>
      <c r="B67" t="s">
        <v>126</v>
      </c>
      <c r="C67" s="30">
        <v>84.1</v>
      </c>
      <c r="D67" s="30">
        <v>79.400000000000006</v>
      </c>
      <c r="E67" s="42">
        <f t="shared" si="3"/>
        <v>78.1995</v>
      </c>
      <c r="F67" s="44">
        <f t="shared" si="4"/>
        <v>1.2005000000000052</v>
      </c>
      <c r="G67" s="46">
        <f t="shared" si="5"/>
        <v>1.5351760561128974E-2</v>
      </c>
    </row>
    <row r="68" spans="1:7" x14ac:dyDescent="0.25">
      <c r="A68" t="s">
        <v>341</v>
      </c>
      <c r="B68" t="s">
        <v>342</v>
      </c>
      <c r="C68" s="30">
        <v>67.075000000000003</v>
      </c>
      <c r="D68" s="30">
        <v>63.594000000000001</v>
      </c>
      <c r="E68" s="42">
        <f t="shared" si="3"/>
        <v>62.417325000000005</v>
      </c>
      <c r="F68" s="44">
        <f t="shared" si="4"/>
        <v>1.1766749999999959</v>
      </c>
      <c r="G68" s="46">
        <f t="shared" si="5"/>
        <v>1.8851737077806456E-2</v>
      </c>
    </row>
    <row r="69" spans="1:7" x14ac:dyDescent="0.25">
      <c r="A69" t="s">
        <v>175</v>
      </c>
      <c r="B69" t="s">
        <v>176</v>
      </c>
      <c r="C69" s="30">
        <v>62.783000000000001</v>
      </c>
      <c r="D69" s="30">
        <v>59.601999999999997</v>
      </c>
      <c r="E69" s="42">
        <f t="shared" si="3"/>
        <v>58.438641000000004</v>
      </c>
      <c r="F69" s="44">
        <f t="shared" si="4"/>
        <v>1.1633589999999927</v>
      </c>
      <c r="G69" s="46">
        <f t="shared" si="5"/>
        <v>1.9907358899738832E-2</v>
      </c>
    </row>
    <row r="70" spans="1:7" x14ac:dyDescent="0.25">
      <c r="A70" t="s">
        <v>111</v>
      </c>
      <c r="B70" t="s">
        <v>112</v>
      </c>
      <c r="C70" s="30">
        <v>81.608000000000004</v>
      </c>
      <c r="D70" s="30">
        <v>77.037000000000006</v>
      </c>
      <c r="E70" s="42">
        <f t="shared" si="3"/>
        <v>75.889416000000011</v>
      </c>
      <c r="F70" s="44">
        <f t="shared" si="4"/>
        <v>1.1475839999999948</v>
      </c>
      <c r="G70" s="46">
        <f t="shared" si="5"/>
        <v>1.5121792477622896E-2</v>
      </c>
    </row>
    <row r="71" spans="1:7" x14ac:dyDescent="0.25">
      <c r="A71" t="s">
        <v>195</v>
      </c>
      <c r="B71" t="s">
        <v>196</v>
      </c>
      <c r="C71" s="30">
        <v>83.3</v>
      </c>
      <c r="D71" s="30">
        <v>78.599999999999994</v>
      </c>
      <c r="E71" s="42">
        <f t="shared" si="3"/>
        <v>77.457899999999995</v>
      </c>
      <c r="F71" s="44">
        <f t="shared" si="4"/>
        <v>1.1420999999999992</v>
      </c>
      <c r="G71" s="46">
        <f t="shared" si="5"/>
        <v>1.4744783940695517E-2</v>
      </c>
    </row>
    <row r="72" spans="1:7" x14ac:dyDescent="0.25">
      <c r="A72" t="s">
        <v>157</v>
      </c>
      <c r="B72" t="s">
        <v>158</v>
      </c>
      <c r="C72" s="30">
        <v>76.956000000000003</v>
      </c>
      <c r="D72" s="30">
        <v>72.668000000000006</v>
      </c>
      <c r="E72" s="42">
        <f t="shared" si="3"/>
        <v>71.577012000000011</v>
      </c>
      <c r="F72" s="44">
        <f t="shared" si="4"/>
        <v>1.0909879999999958</v>
      </c>
      <c r="G72" s="46">
        <f t="shared" si="5"/>
        <v>1.5242156238653768E-2</v>
      </c>
    </row>
    <row r="73" spans="1:7" x14ac:dyDescent="0.25">
      <c r="A73" t="s">
        <v>421</v>
      </c>
      <c r="B73" t="s">
        <v>422</v>
      </c>
      <c r="C73" s="30">
        <v>57.35</v>
      </c>
      <c r="D73" s="30">
        <v>54.487000000000002</v>
      </c>
      <c r="E73" s="42">
        <f t="shared" si="3"/>
        <v>53.402250000000002</v>
      </c>
      <c r="F73" s="44">
        <f t="shared" si="4"/>
        <v>1.0847499999999997</v>
      </c>
      <c r="G73" s="46">
        <f t="shared" si="5"/>
        <v>2.0312814534968089E-2</v>
      </c>
    </row>
    <row r="74" spans="1:7" x14ac:dyDescent="0.25">
      <c r="A74" t="s">
        <v>293</v>
      </c>
      <c r="B74" t="s">
        <v>517</v>
      </c>
      <c r="C74" s="30">
        <v>69.572000000000003</v>
      </c>
      <c r="D74" s="30">
        <v>65.793000000000006</v>
      </c>
      <c r="E74" s="42">
        <f t="shared" si="3"/>
        <v>64.732044000000002</v>
      </c>
      <c r="F74" s="44">
        <f t="shared" si="4"/>
        <v>1.0609560000000045</v>
      </c>
      <c r="G74" s="46">
        <f t="shared" si="5"/>
        <v>1.6389965995821241E-2</v>
      </c>
    </row>
    <row r="75" spans="1:7" x14ac:dyDescent="0.25">
      <c r="A75" t="s">
        <v>521</v>
      </c>
      <c r="B75" t="s">
        <v>522</v>
      </c>
      <c r="C75" s="30">
        <v>87.438999999999993</v>
      </c>
      <c r="D75" s="30">
        <v>82.349000000000004</v>
      </c>
      <c r="E75" s="42">
        <f t="shared" ref="E75:E106" si="6" xml:space="preserve"> 0.927*C75 + 0.2388</f>
        <v>81.294753</v>
      </c>
      <c r="F75" s="44">
        <f t="shared" ref="F75:F106" si="7">D75-E75</f>
        <v>1.0542470000000037</v>
      </c>
      <c r="G75" s="46">
        <f t="shared" ref="G75:G106" si="8">F75/E75</f>
        <v>1.2968204725340684E-2</v>
      </c>
    </row>
    <row r="76" spans="1:7" x14ac:dyDescent="0.25">
      <c r="A76" t="s">
        <v>373</v>
      </c>
      <c r="B76" t="s">
        <v>374</v>
      </c>
      <c r="C76" s="30">
        <v>78.293000000000006</v>
      </c>
      <c r="D76" s="30">
        <v>73.8</v>
      </c>
      <c r="E76" s="42">
        <f t="shared" si="6"/>
        <v>72.816411000000002</v>
      </c>
      <c r="F76" s="44">
        <f t="shared" si="7"/>
        <v>0.98358899999999494</v>
      </c>
      <c r="G76" s="46">
        <f t="shared" si="8"/>
        <v>1.3507792906739044E-2</v>
      </c>
    </row>
    <row r="77" spans="1:7" x14ac:dyDescent="0.25">
      <c r="A77" t="s">
        <v>275</v>
      </c>
      <c r="B77" t="s">
        <v>276</v>
      </c>
      <c r="C77" s="30">
        <v>78.171999999999997</v>
      </c>
      <c r="D77" s="30">
        <v>73.677000000000007</v>
      </c>
      <c r="E77" s="42">
        <f t="shared" si="6"/>
        <v>72.704244000000003</v>
      </c>
      <c r="F77" s="44">
        <f t="shared" si="7"/>
        <v>0.97275600000000395</v>
      </c>
      <c r="G77" s="46">
        <f t="shared" si="8"/>
        <v>1.337963159344596E-2</v>
      </c>
    </row>
    <row r="78" spans="1:7" x14ac:dyDescent="0.25">
      <c r="A78" t="s">
        <v>257</v>
      </c>
      <c r="B78" t="s">
        <v>258</v>
      </c>
      <c r="C78" s="30">
        <v>72.403000000000006</v>
      </c>
      <c r="D78" s="30">
        <v>68.311000000000007</v>
      </c>
      <c r="E78" s="42">
        <f t="shared" si="6"/>
        <v>67.356381000000013</v>
      </c>
      <c r="F78" s="44">
        <f t="shared" si="7"/>
        <v>0.95461899999999389</v>
      </c>
      <c r="G78" s="46">
        <f t="shared" si="8"/>
        <v>1.4172658712171512E-2</v>
      </c>
    </row>
    <row r="79" spans="1:7" x14ac:dyDescent="0.25">
      <c r="A79" t="s">
        <v>273</v>
      </c>
      <c r="B79" t="s">
        <v>274</v>
      </c>
      <c r="C79" s="30">
        <v>73.903000000000006</v>
      </c>
      <c r="D79" s="30">
        <v>69.694999999999993</v>
      </c>
      <c r="E79" s="42">
        <f t="shared" si="6"/>
        <v>68.746881000000002</v>
      </c>
      <c r="F79" s="44">
        <f t="shared" si="7"/>
        <v>0.94811899999999127</v>
      </c>
      <c r="G79" s="46">
        <f t="shared" si="8"/>
        <v>1.3791447498541661E-2</v>
      </c>
    </row>
    <row r="80" spans="1:7" x14ac:dyDescent="0.25">
      <c r="A80" t="s">
        <v>169</v>
      </c>
      <c r="B80" t="s">
        <v>170</v>
      </c>
      <c r="C80" s="30">
        <v>82.527000000000001</v>
      </c>
      <c r="D80" s="30">
        <v>77.683999999999997</v>
      </c>
      <c r="E80" s="42">
        <f t="shared" si="6"/>
        <v>76.741329000000007</v>
      </c>
      <c r="F80" s="44">
        <f t="shared" si="7"/>
        <v>0.94267099999999004</v>
      </c>
      <c r="G80" s="46">
        <f t="shared" si="8"/>
        <v>1.2283746089411482E-2</v>
      </c>
    </row>
    <row r="81" spans="1:7" x14ac:dyDescent="0.25">
      <c r="A81" t="s">
        <v>239</v>
      </c>
      <c r="B81" t="s">
        <v>240</v>
      </c>
      <c r="C81" s="30">
        <v>63.042000000000002</v>
      </c>
      <c r="D81" s="30">
        <v>59.555999999999997</v>
      </c>
      <c r="E81" s="42">
        <f t="shared" si="6"/>
        <v>58.678733999999999</v>
      </c>
      <c r="F81" s="44">
        <f t="shared" si="7"/>
        <v>0.87726599999999877</v>
      </c>
      <c r="G81" s="46">
        <f t="shared" si="8"/>
        <v>1.495032254785863E-2</v>
      </c>
    </row>
    <row r="82" spans="1:7" x14ac:dyDescent="0.25">
      <c r="A82" t="s">
        <v>135</v>
      </c>
      <c r="B82" t="s">
        <v>136</v>
      </c>
      <c r="C82" s="30">
        <v>61.706000000000003</v>
      </c>
      <c r="D82" s="30">
        <v>58.29</v>
      </c>
      <c r="E82" s="42">
        <f t="shared" si="6"/>
        <v>57.440262000000004</v>
      </c>
      <c r="F82" s="44">
        <f t="shared" si="7"/>
        <v>0.849737999999995</v>
      </c>
      <c r="G82" s="46">
        <f t="shared" si="8"/>
        <v>1.4793421380981775E-2</v>
      </c>
    </row>
    <row r="83" spans="1:7" x14ac:dyDescent="0.25">
      <c r="A83" t="s">
        <v>241</v>
      </c>
      <c r="B83" t="s">
        <v>242</v>
      </c>
      <c r="C83" s="30">
        <v>84.4</v>
      </c>
      <c r="D83" s="30">
        <v>79.3</v>
      </c>
      <c r="E83" s="42">
        <f t="shared" si="6"/>
        <v>78.47760000000001</v>
      </c>
      <c r="F83" s="44">
        <f t="shared" si="7"/>
        <v>0.82239999999998759</v>
      </c>
      <c r="G83" s="46">
        <f t="shared" si="8"/>
        <v>1.0479423427831477E-2</v>
      </c>
    </row>
    <row r="84" spans="1:7" x14ac:dyDescent="0.25">
      <c r="A84" t="s">
        <v>505</v>
      </c>
      <c r="B84" t="s">
        <v>506</v>
      </c>
      <c r="C84" s="30">
        <v>74.13</v>
      </c>
      <c r="D84" s="30">
        <v>69.75</v>
      </c>
      <c r="E84" s="42">
        <f t="shared" si="6"/>
        <v>68.957309999999993</v>
      </c>
      <c r="F84" s="44">
        <f t="shared" si="7"/>
        <v>0.79269000000000744</v>
      </c>
      <c r="G84" s="46">
        <f t="shared" si="8"/>
        <v>1.1495373006864791E-2</v>
      </c>
    </row>
    <row r="85" spans="1:7" x14ac:dyDescent="0.25">
      <c r="A85" t="s">
        <v>439</v>
      </c>
      <c r="B85" t="s">
        <v>440</v>
      </c>
      <c r="C85" s="30">
        <v>54.317</v>
      </c>
      <c r="D85" s="30">
        <v>51.372</v>
      </c>
      <c r="E85" s="42">
        <f t="shared" si="6"/>
        <v>50.590659000000002</v>
      </c>
      <c r="F85" s="44">
        <f t="shared" si="7"/>
        <v>0.78134099999999762</v>
      </c>
      <c r="G85" s="46">
        <f t="shared" si="8"/>
        <v>1.544437284361126E-2</v>
      </c>
    </row>
    <row r="86" spans="1:7" x14ac:dyDescent="0.25">
      <c r="A86" t="s">
        <v>507</v>
      </c>
      <c r="B86" t="s">
        <v>508</v>
      </c>
      <c r="C86" s="30">
        <v>87.7</v>
      </c>
      <c r="D86" s="30">
        <v>82.3</v>
      </c>
      <c r="E86" s="42">
        <f t="shared" si="6"/>
        <v>81.53670000000001</v>
      </c>
      <c r="F86" s="44">
        <f t="shared" si="7"/>
        <v>0.76329999999998677</v>
      </c>
      <c r="G86" s="46">
        <f t="shared" si="8"/>
        <v>9.3614286572793193E-3</v>
      </c>
    </row>
    <row r="87" spans="1:7" x14ac:dyDescent="0.25">
      <c r="A87" t="s">
        <v>335</v>
      </c>
      <c r="B87" t="s">
        <v>336</v>
      </c>
      <c r="C87" s="30">
        <v>79.3</v>
      </c>
      <c r="D87" s="30">
        <v>74.5</v>
      </c>
      <c r="E87" s="42">
        <f t="shared" si="6"/>
        <v>73.749899999999997</v>
      </c>
      <c r="F87" s="44">
        <f t="shared" si="7"/>
        <v>0.75010000000000332</v>
      </c>
      <c r="G87" s="46">
        <f t="shared" si="8"/>
        <v>1.0170861248625467E-2</v>
      </c>
    </row>
    <row r="88" spans="1:7" x14ac:dyDescent="0.25">
      <c r="A88" t="s">
        <v>231</v>
      </c>
      <c r="B88" t="s">
        <v>232</v>
      </c>
      <c r="C88" s="30">
        <v>66.049000000000007</v>
      </c>
      <c r="D88" s="30">
        <v>62.215000000000003</v>
      </c>
      <c r="E88" s="42">
        <f t="shared" si="6"/>
        <v>61.466223000000006</v>
      </c>
      <c r="F88" s="44">
        <f t="shared" si="7"/>
        <v>0.74877699999999692</v>
      </c>
      <c r="G88" s="46">
        <f t="shared" si="8"/>
        <v>1.2181926323990932E-2</v>
      </c>
    </row>
    <row r="89" spans="1:7" x14ac:dyDescent="0.25">
      <c r="A89" t="s">
        <v>445</v>
      </c>
      <c r="B89" t="s">
        <v>446</v>
      </c>
      <c r="C89" s="30">
        <v>72.599000000000004</v>
      </c>
      <c r="D89" s="30">
        <v>68.272000000000006</v>
      </c>
      <c r="E89" s="42">
        <f t="shared" si="6"/>
        <v>67.538073000000011</v>
      </c>
      <c r="F89" s="44">
        <f t="shared" si="7"/>
        <v>0.73392699999999422</v>
      </c>
      <c r="G89" s="46">
        <f t="shared" si="8"/>
        <v>1.0866863198776697E-2</v>
      </c>
    </row>
    <row r="90" spans="1:7" x14ac:dyDescent="0.25">
      <c r="A90" t="s">
        <v>391</v>
      </c>
      <c r="B90" t="s">
        <v>527</v>
      </c>
      <c r="C90" s="30">
        <v>77.137</v>
      </c>
      <c r="D90" s="30">
        <v>72.463999999999999</v>
      </c>
      <c r="E90" s="42">
        <f t="shared" si="6"/>
        <v>71.744799</v>
      </c>
      <c r="F90" s="44">
        <f t="shared" si="7"/>
        <v>0.7192009999999982</v>
      </c>
      <c r="G90" s="46">
        <f t="shared" si="8"/>
        <v>1.0024433966286507E-2</v>
      </c>
    </row>
    <row r="91" spans="1:7" x14ac:dyDescent="0.25">
      <c r="A91" t="s">
        <v>129</v>
      </c>
      <c r="B91" t="s">
        <v>130</v>
      </c>
      <c r="C91" s="30">
        <v>63.524000000000001</v>
      </c>
      <c r="D91" s="30">
        <v>59.820999999999998</v>
      </c>
      <c r="E91" s="42">
        <f t="shared" si="6"/>
        <v>59.125548000000002</v>
      </c>
      <c r="F91" s="44">
        <f t="shared" si="7"/>
        <v>0.69545199999999596</v>
      </c>
      <c r="G91" s="46">
        <f t="shared" si="8"/>
        <v>1.1762292672534654E-2</v>
      </c>
    </row>
    <row r="92" spans="1:7" x14ac:dyDescent="0.25">
      <c r="A92" t="s">
        <v>469</v>
      </c>
      <c r="B92" t="s">
        <v>533</v>
      </c>
      <c r="C92" s="30">
        <v>81.2</v>
      </c>
      <c r="D92" s="30">
        <v>76.2</v>
      </c>
      <c r="E92" s="42">
        <f t="shared" si="6"/>
        <v>75.511200000000002</v>
      </c>
      <c r="F92" s="44">
        <f t="shared" si="7"/>
        <v>0.68880000000000052</v>
      </c>
      <c r="G92" s="46">
        <f t="shared" si="8"/>
        <v>9.1218256364618833E-3</v>
      </c>
    </row>
    <row r="93" spans="1:7" x14ac:dyDescent="0.25">
      <c r="A93" t="s">
        <v>187</v>
      </c>
      <c r="B93" t="s">
        <v>188</v>
      </c>
      <c r="C93" s="30">
        <v>82.082999999999998</v>
      </c>
      <c r="D93" s="30">
        <v>76.995999999999995</v>
      </c>
      <c r="E93" s="42">
        <f t="shared" si="6"/>
        <v>76.329740999999999</v>
      </c>
      <c r="F93" s="44">
        <f t="shared" si="7"/>
        <v>0.6662589999999966</v>
      </c>
      <c r="G93" s="46">
        <f t="shared" si="8"/>
        <v>8.7286946250740797E-3</v>
      </c>
    </row>
    <row r="94" spans="1:7" x14ac:dyDescent="0.25">
      <c r="A94" t="s">
        <v>161</v>
      </c>
      <c r="B94" t="s">
        <v>162</v>
      </c>
      <c r="C94" s="30">
        <v>67.370999999999995</v>
      </c>
      <c r="D94" s="30">
        <v>63.335999999999999</v>
      </c>
      <c r="E94" s="42">
        <f t="shared" si="6"/>
        <v>62.691716999999997</v>
      </c>
      <c r="F94" s="44">
        <f t="shared" si="7"/>
        <v>0.64428300000000149</v>
      </c>
      <c r="G94" s="46">
        <f t="shared" si="8"/>
        <v>1.0277003579276694E-2</v>
      </c>
    </row>
    <row r="95" spans="1:7" x14ac:dyDescent="0.25">
      <c r="A95" t="s">
        <v>211</v>
      </c>
      <c r="B95" t="s">
        <v>212</v>
      </c>
      <c r="C95" s="30">
        <v>69.114999999999995</v>
      </c>
      <c r="D95" s="30">
        <v>64.947000000000003</v>
      </c>
      <c r="E95" s="42">
        <f t="shared" si="6"/>
        <v>64.308404999999993</v>
      </c>
      <c r="F95" s="44">
        <f t="shared" si="7"/>
        <v>0.63859500000000935</v>
      </c>
      <c r="G95" s="46">
        <f t="shared" si="8"/>
        <v>9.9301949721814654E-3</v>
      </c>
    </row>
    <row r="96" spans="1:7" x14ac:dyDescent="0.25">
      <c r="A96" t="s">
        <v>177</v>
      </c>
      <c r="B96" t="s">
        <v>497</v>
      </c>
      <c r="C96" s="30">
        <v>61.767000000000003</v>
      </c>
      <c r="D96" s="30">
        <v>58.133000000000003</v>
      </c>
      <c r="E96" s="42">
        <f t="shared" si="6"/>
        <v>57.496809000000006</v>
      </c>
      <c r="F96" s="44">
        <f t="shared" si="7"/>
        <v>0.63619099999999662</v>
      </c>
      <c r="G96" s="46">
        <f t="shared" si="8"/>
        <v>1.1064805352937005E-2</v>
      </c>
    </row>
    <row r="97" spans="1:7" x14ac:dyDescent="0.25">
      <c r="A97" t="s">
        <v>189</v>
      </c>
      <c r="B97" t="s">
        <v>190</v>
      </c>
      <c r="C97" s="30">
        <v>80.051000000000002</v>
      </c>
      <c r="D97" s="30">
        <v>75.066999999999993</v>
      </c>
      <c r="E97" s="42">
        <f t="shared" si="6"/>
        <v>74.446077000000002</v>
      </c>
      <c r="F97" s="44">
        <f t="shared" si="7"/>
        <v>0.62092299999999057</v>
      </c>
      <c r="G97" s="46">
        <f t="shared" si="8"/>
        <v>8.3405738088790163E-3</v>
      </c>
    </row>
    <row r="98" spans="1:7" x14ac:dyDescent="0.25">
      <c r="A98" t="s">
        <v>461</v>
      </c>
      <c r="B98" t="s">
        <v>532</v>
      </c>
      <c r="C98" s="30">
        <v>68.649000000000001</v>
      </c>
      <c r="D98" s="30">
        <v>64.474999999999994</v>
      </c>
      <c r="E98" s="42">
        <f t="shared" si="6"/>
        <v>63.876423000000003</v>
      </c>
      <c r="F98" s="44">
        <f t="shared" si="7"/>
        <v>0.5985769999999917</v>
      </c>
      <c r="G98" s="46">
        <f t="shared" si="8"/>
        <v>9.3708597302011049E-3</v>
      </c>
    </row>
    <row r="99" spans="1:7" x14ac:dyDescent="0.25">
      <c r="A99" t="s">
        <v>207</v>
      </c>
      <c r="B99" t="s">
        <v>208</v>
      </c>
      <c r="C99" s="30">
        <v>79.603999999999999</v>
      </c>
      <c r="D99" s="30">
        <v>74.623000000000005</v>
      </c>
      <c r="E99" s="42">
        <f t="shared" si="6"/>
        <v>74.031707999999995</v>
      </c>
      <c r="F99" s="44">
        <f t="shared" si="7"/>
        <v>0.59129200000000992</v>
      </c>
      <c r="G99" s="46">
        <f t="shared" si="8"/>
        <v>7.9870101065344853E-3</v>
      </c>
    </row>
    <row r="100" spans="1:7" x14ac:dyDescent="0.25">
      <c r="A100" t="s">
        <v>419</v>
      </c>
      <c r="B100" t="s">
        <v>420</v>
      </c>
      <c r="C100" s="30">
        <v>78.400000000000006</v>
      </c>
      <c r="D100" s="30">
        <v>73.5</v>
      </c>
      <c r="E100" s="42">
        <f t="shared" si="6"/>
        <v>72.915600000000012</v>
      </c>
      <c r="F100" s="44">
        <f t="shared" si="7"/>
        <v>0.58439999999998804</v>
      </c>
      <c r="G100" s="46">
        <f t="shared" si="8"/>
        <v>8.0147458157100535E-3</v>
      </c>
    </row>
    <row r="101" spans="1:7" x14ac:dyDescent="0.25">
      <c r="A101" t="s">
        <v>219</v>
      </c>
      <c r="B101" t="s">
        <v>220</v>
      </c>
      <c r="C101" s="30">
        <v>84.5</v>
      </c>
      <c r="D101" s="30">
        <v>79.099999999999994</v>
      </c>
      <c r="E101" s="42">
        <f t="shared" si="6"/>
        <v>78.570300000000003</v>
      </c>
      <c r="F101" s="44">
        <f t="shared" si="7"/>
        <v>0.52969999999999118</v>
      </c>
      <c r="G101" s="46">
        <f t="shared" si="8"/>
        <v>6.7417331994403884E-3</v>
      </c>
    </row>
    <row r="102" spans="1:7" x14ac:dyDescent="0.25">
      <c r="A102" t="s">
        <v>285</v>
      </c>
      <c r="B102" t="s">
        <v>286</v>
      </c>
      <c r="C102" s="30">
        <v>72.778000000000006</v>
      </c>
      <c r="D102" s="30">
        <v>68.225999999999999</v>
      </c>
      <c r="E102" s="42">
        <f t="shared" si="6"/>
        <v>67.704006000000007</v>
      </c>
      <c r="F102" s="44">
        <f t="shared" si="7"/>
        <v>0.5219939999999923</v>
      </c>
      <c r="G102" s="46">
        <f t="shared" si="8"/>
        <v>7.7099425992605553E-3</v>
      </c>
    </row>
    <row r="103" spans="1:7" x14ac:dyDescent="0.25">
      <c r="A103" t="s">
        <v>347</v>
      </c>
      <c r="B103" t="s">
        <v>348</v>
      </c>
      <c r="C103" s="30">
        <v>78.266999999999996</v>
      </c>
      <c r="D103" s="30">
        <v>73.293000000000006</v>
      </c>
      <c r="E103" s="42">
        <f t="shared" si="6"/>
        <v>72.792309000000003</v>
      </c>
      <c r="F103" s="44">
        <f t="shared" si="7"/>
        <v>0.50069100000000333</v>
      </c>
      <c r="G103" s="46">
        <f t="shared" si="8"/>
        <v>6.8783502938477101E-3</v>
      </c>
    </row>
    <row r="104" spans="1:7" x14ac:dyDescent="0.25">
      <c r="A104" t="s">
        <v>399</v>
      </c>
      <c r="B104" t="s">
        <v>400</v>
      </c>
      <c r="C104" s="30">
        <v>68.266000000000005</v>
      </c>
      <c r="D104" s="30">
        <v>64.013000000000005</v>
      </c>
      <c r="E104" s="42">
        <f t="shared" si="6"/>
        <v>63.521382000000003</v>
      </c>
      <c r="F104" s="44">
        <f t="shared" si="7"/>
        <v>0.49161800000000255</v>
      </c>
      <c r="G104" s="46">
        <f t="shared" si="8"/>
        <v>7.7394096998708644E-3</v>
      </c>
    </row>
    <row r="105" spans="1:7" x14ac:dyDescent="0.25">
      <c r="A105" t="s">
        <v>479</v>
      </c>
      <c r="B105" t="s">
        <v>480</v>
      </c>
      <c r="C105" s="30">
        <v>72.3</v>
      </c>
      <c r="D105" s="30">
        <v>67.75</v>
      </c>
      <c r="E105" s="42">
        <f t="shared" si="6"/>
        <v>67.260899999999992</v>
      </c>
      <c r="F105" s="44">
        <f t="shared" si="7"/>
        <v>0.48910000000000764</v>
      </c>
      <c r="G105" s="46">
        <f t="shared" si="8"/>
        <v>7.2716838460384521E-3</v>
      </c>
    </row>
    <row r="106" spans="1:7" x14ac:dyDescent="0.25">
      <c r="A106" t="s">
        <v>213</v>
      </c>
      <c r="B106" t="s">
        <v>214</v>
      </c>
      <c r="C106" s="30">
        <v>86.3</v>
      </c>
      <c r="D106" s="30">
        <v>80.7</v>
      </c>
      <c r="E106" s="42">
        <f t="shared" si="6"/>
        <v>80.238900000000001</v>
      </c>
      <c r="F106" s="44">
        <f t="shared" si="7"/>
        <v>0.46110000000000184</v>
      </c>
      <c r="G106" s="46">
        <f t="shared" si="8"/>
        <v>5.746589247858605E-3</v>
      </c>
    </row>
    <row r="107" spans="1:7" x14ac:dyDescent="0.25">
      <c r="A107" t="s">
        <v>319</v>
      </c>
      <c r="B107" t="s">
        <v>320</v>
      </c>
      <c r="C107" s="30">
        <v>67.432000000000002</v>
      </c>
      <c r="D107" s="30">
        <v>63.2</v>
      </c>
      <c r="E107" s="42">
        <f t="shared" ref="E107:E138" si="9" xml:space="preserve"> 0.927*C107 + 0.2388</f>
        <v>62.748264000000006</v>
      </c>
      <c r="F107" s="44">
        <f t="shared" ref="F107:F138" si="10">D107-E107</f>
        <v>0.45173599999999681</v>
      </c>
      <c r="G107" s="46">
        <f t="shared" ref="G107:G138" si="11">F107/E107</f>
        <v>7.1991792474130718E-3</v>
      </c>
    </row>
    <row r="108" spans="1:7" x14ac:dyDescent="0.25">
      <c r="A108" t="s">
        <v>405</v>
      </c>
      <c r="B108" t="s">
        <v>406</v>
      </c>
      <c r="C108" s="30">
        <v>70.257999999999996</v>
      </c>
      <c r="D108" s="30">
        <v>65.78</v>
      </c>
      <c r="E108" s="42">
        <f t="shared" si="9"/>
        <v>65.367965999999996</v>
      </c>
      <c r="F108" s="44">
        <f t="shared" si="10"/>
        <v>0.41203400000000556</v>
      </c>
      <c r="G108" s="46">
        <f t="shared" si="11"/>
        <v>6.3033015284582293E-3</v>
      </c>
    </row>
    <row r="109" spans="1:7" x14ac:dyDescent="0.25">
      <c r="A109" t="s">
        <v>249</v>
      </c>
      <c r="B109" t="s">
        <v>250</v>
      </c>
      <c r="C109" s="30">
        <v>75.317999999999998</v>
      </c>
      <c r="D109" s="30">
        <v>70.460999999999999</v>
      </c>
      <c r="E109" s="42">
        <f t="shared" si="9"/>
        <v>70.058586000000005</v>
      </c>
      <c r="F109" s="44">
        <f t="shared" si="10"/>
        <v>0.40241399999999317</v>
      </c>
      <c r="G109" s="46">
        <f t="shared" si="11"/>
        <v>5.7439640588805652E-3</v>
      </c>
    </row>
    <row r="110" spans="1:7" x14ac:dyDescent="0.25">
      <c r="A110" t="s">
        <v>121</v>
      </c>
      <c r="B110" t="s">
        <v>122</v>
      </c>
      <c r="C110" s="30">
        <v>81</v>
      </c>
      <c r="D110" s="30">
        <v>75.724000000000004</v>
      </c>
      <c r="E110" s="42">
        <f t="shared" si="9"/>
        <v>75.325800000000001</v>
      </c>
      <c r="F110" s="44">
        <f t="shared" si="10"/>
        <v>0.39820000000000277</v>
      </c>
      <c r="G110" s="46">
        <f t="shared" si="11"/>
        <v>5.2863693448991283E-3</v>
      </c>
    </row>
    <row r="111" spans="1:7" x14ac:dyDescent="0.25">
      <c r="A111" t="s">
        <v>463</v>
      </c>
      <c r="B111" t="s">
        <v>464</v>
      </c>
      <c r="C111" s="30">
        <v>64.744</v>
      </c>
      <c r="D111" s="30">
        <v>60.587000000000003</v>
      </c>
      <c r="E111" s="42">
        <f t="shared" si="9"/>
        <v>60.256487999999997</v>
      </c>
      <c r="F111" s="44">
        <f t="shared" si="10"/>
        <v>0.33051200000000591</v>
      </c>
      <c r="G111" s="46">
        <f t="shared" si="11"/>
        <v>5.4850856890299666E-3</v>
      </c>
    </row>
    <row r="112" spans="1:7" x14ac:dyDescent="0.25">
      <c r="A112" t="s">
        <v>473</v>
      </c>
      <c r="B112" t="s">
        <v>534</v>
      </c>
      <c r="C112" s="30">
        <v>76.863</v>
      </c>
      <c r="D112" s="30">
        <v>71.816000000000003</v>
      </c>
      <c r="E112" s="42">
        <f t="shared" si="9"/>
        <v>71.490801000000005</v>
      </c>
      <c r="F112" s="44">
        <f t="shared" si="10"/>
        <v>0.3251989999999978</v>
      </c>
      <c r="G112" s="46">
        <f t="shared" si="11"/>
        <v>4.5488230017173507E-3</v>
      </c>
    </row>
    <row r="113" spans="1:7" x14ac:dyDescent="0.25">
      <c r="A113" t="s">
        <v>183</v>
      </c>
      <c r="B113" t="s">
        <v>184</v>
      </c>
      <c r="C113" s="30">
        <v>66.194999999999993</v>
      </c>
      <c r="D113" s="30">
        <v>61.808</v>
      </c>
      <c r="E113" s="42">
        <f t="shared" si="9"/>
        <v>61.601564999999994</v>
      </c>
      <c r="F113" s="44">
        <f t="shared" si="10"/>
        <v>0.20643500000000614</v>
      </c>
      <c r="G113" s="46">
        <f t="shared" si="11"/>
        <v>3.3511323941202817E-3</v>
      </c>
    </row>
    <row r="114" spans="1:7" x14ac:dyDescent="0.25">
      <c r="A114" t="s">
        <v>537</v>
      </c>
      <c r="B114" t="s">
        <v>538</v>
      </c>
      <c r="C114" s="30">
        <v>75.313999999999993</v>
      </c>
      <c r="D114" s="30">
        <v>70.210999999999999</v>
      </c>
      <c r="E114" s="42">
        <f t="shared" si="9"/>
        <v>70.054877999999988</v>
      </c>
      <c r="F114" s="44">
        <f t="shared" si="10"/>
        <v>0.15612200000001053</v>
      </c>
      <c r="G114" s="46">
        <f t="shared" si="11"/>
        <v>2.2285671527400358E-3</v>
      </c>
    </row>
    <row r="115" spans="1:7" x14ac:dyDescent="0.25">
      <c r="A115" t="s">
        <v>225</v>
      </c>
      <c r="B115" t="s">
        <v>226</v>
      </c>
      <c r="C115" s="30">
        <v>68.789000000000001</v>
      </c>
      <c r="D115" s="30">
        <v>64.114999999999995</v>
      </c>
      <c r="E115" s="42">
        <f t="shared" si="9"/>
        <v>64.006202999999999</v>
      </c>
      <c r="F115" s="44">
        <f t="shared" si="10"/>
        <v>0.10879699999999559</v>
      </c>
      <c r="G115" s="46">
        <f t="shared" si="11"/>
        <v>1.6997883783232009E-3</v>
      </c>
    </row>
    <row r="116" spans="1:7" x14ac:dyDescent="0.25">
      <c r="A116" t="s">
        <v>209</v>
      </c>
      <c r="B116" t="s">
        <v>499</v>
      </c>
      <c r="C116" s="30">
        <v>73.927000000000007</v>
      </c>
      <c r="D116" s="30">
        <v>68.875</v>
      </c>
      <c r="E116" s="42">
        <f t="shared" si="9"/>
        <v>68.769129000000007</v>
      </c>
      <c r="F116" s="44">
        <f t="shared" si="10"/>
        <v>0.10587099999999339</v>
      </c>
      <c r="G116" s="46">
        <f t="shared" si="11"/>
        <v>1.5395134639555109E-3</v>
      </c>
    </row>
    <row r="117" spans="1:7" x14ac:dyDescent="0.25">
      <c r="A117" t="s">
        <v>277</v>
      </c>
      <c r="B117" t="s">
        <v>278</v>
      </c>
      <c r="C117" s="30">
        <v>87.32</v>
      </c>
      <c r="D117" s="30">
        <v>81.25</v>
      </c>
      <c r="E117" s="42">
        <f t="shared" si="9"/>
        <v>81.184439999999995</v>
      </c>
      <c r="F117" s="44">
        <f t="shared" si="10"/>
        <v>6.5560000000004948E-2</v>
      </c>
      <c r="G117" s="46">
        <f t="shared" si="11"/>
        <v>8.075439086603905E-4</v>
      </c>
    </row>
    <row r="118" spans="1:7" x14ac:dyDescent="0.25">
      <c r="A118" t="s">
        <v>369</v>
      </c>
      <c r="B118" t="s">
        <v>370</v>
      </c>
      <c r="C118" s="30">
        <v>68.959000000000003</v>
      </c>
      <c r="D118" s="30">
        <v>64.221999999999994</v>
      </c>
      <c r="E118" s="42">
        <f t="shared" si="9"/>
        <v>64.163793000000013</v>
      </c>
      <c r="F118" s="44">
        <f t="shared" si="10"/>
        <v>5.820699999998169E-2</v>
      </c>
      <c r="G118" s="46">
        <f t="shared" si="11"/>
        <v>9.0716270467336121E-4</v>
      </c>
    </row>
    <row r="119" spans="1:7" x14ac:dyDescent="0.25">
      <c r="A119" t="s">
        <v>171</v>
      </c>
      <c r="B119" t="s">
        <v>172</v>
      </c>
      <c r="C119" s="30">
        <v>80.637</v>
      </c>
      <c r="D119" s="30">
        <v>75.046000000000006</v>
      </c>
      <c r="E119" s="42">
        <f t="shared" si="9"/>
        <v>74.989299000000003</v>
      </c>
      <c r="F119" s="44">
        <f t="shared" si="10"/>
        <v>5.6701000000003887E-2</v>
      </c>
      <c r="G119" s="46">
        <f t="shared" si="11"/>
        <v>7.5612121670858511E-4</v>
      </c>
    </row>
    <row r="120" spans="1:7" x14ac:dyDescent="0.25">
      <c r="A120" t="s">
        <v>429</v>
      </c>
      <c r="B120" t="s">
        <v>430</v>
      </c>
      <c r="C120" s="30">
        <v>84.4</v>
      </c>
      <c r="D120" s="30">
        <v>78.5</v>
      </c>
      <c r="E120" s="42">
        <f t="shared" si="9"/>
        <v>78.47760000000001</v>
      </c>
      <c r="F120" s="44">
        <f t="shared" si="10"/>
        <v>2.2399999999990428E-2</v>
      </c>
      <c r="G120" s="46">
        <f t="shared" si="11"/>
        <v>2.85431766516693E-4</v>
      </c>
    </row>
    <row r="121" spans="1:7" x14ac:dyDescent="0.25">
      <c r="A121" t="s">
        <v>289</v>
      </c>
      <c r="B121" t="s">
        <v>516</v>
      </c>
      <c r="C121" s="30">
        <v>85.7</v>
      </c>
      <c r="D121" s="30">
        <v>79.7</v>
      </c>
      <c r="E121" s="42">
        <f t="shared" si="9"/>
        <v>79.682700000000011</v>
      </c>
      <c r="F121" s="44">
        <f t="shared" si="10"/>
        <v>1.7299999999991655E-2</v>
      </c>
      <c r="G121" s="46">
        <f t="shared" si="11"/>
        <v>2.1711111696756828E-4</v>
      </c>
    </row>
    <row r="122" spans="1:7" x14ac:dyDescent="0.25">
      <c r="A122" t="s">
        <v>237</v>
      </c>
      <c r="B122" t="s">
        <v>238</v>
      </c>
      <c r="C122" s="30">
        <v>62.613999999999997</v>
      </c>
      <c r="D122" s="30">
        <v>58.262999999999998</v>
      </c>
      <c r="E122" s="42">
        <f t="shared" si="9"/>
        <v>58.281977999999995</v>
      </c>
      <c r="F122" s="44">
        <f t="shared" si="10"/>
        <v>-1.8977999999997053E-2</v>
      </c>
      <c r="G122" s="46">
        <f t="shared" si="11"/>
        <v>-3.2562381462065433E-4</v>
      </c>
    </row>
    <row r="123" spans="1:7" x14ac:dyDescent="0.25">
      <c r="A123" t="s">
        <v>263</v>
      </c>
      <c r="B123" t="s">
        <v>511</v>
      </c>
      <c r="C123" s="30">
        <v>79.090999999999994</v>
      </c>
      <c r="D123" s="30">
        <v>73.519000000000005</v>
      </c>
      <c r="E123" s="42">
        <f t="shared" si="9"/>
        <v>73.556156999999999</v>
      </c>
      <c r="F123" s="44">
        <f t="shared" si="10"/>
        <v>-3.7156999999993445E-2</v>
      </c>
      <c r="G123" s="46">
        <f t="shared" si="11"/>
        <v>-5.0515145863307468E-4</v>
      </c>
    </row>
    <row r="124" spans="1:7" x14ac:dyDescent="0.25">
      <c r="A124" t="s">
        <v>385</v>
      </c>
      <c r="B124" t="s">
        <v>526</v>
      </c>
      <c r="C124" s="30">
        <v>75.632000000000005</v>
      </c>
      <c r="D124" s="30">
        <v>70.307000000000002</v>
      </c>
      <c r="E124" s="42">
        <f t="shared" si="9"/>
        <v>70.349664000000004</v>
      </c>
      <c r="F124" s="44">
        <f t="shared" si="10"/>
        <v>-4.2664000000002034E-2</v>
      </c>
      <c r="G124" s="46">
        <f t="shared" si="11"/>
        <v>-6.0645634355840038E-4</v>
      </c>
    </row>
    <row r="125" spans="1:7" x14ac:dyDescent="0.25">
      <c r="A125" t="s">
        <v>193</v>
      </c>
      <c r="B125" t="s">
        <v>194</v>
      </c>
      <c r="C125" s="30">
        <v>82</v>
      </c>
      <c r="D125" s="30">
        <v>76.2</v>
      </c>
      <c r="E125" s="42">
        <f t="shared" si="9"/>
        <v>76.252800000000008</v>
      </c>
      <c r="F125" s="44">
        <f t="shared" si="10"/>
        <v>-5.2800000000004843E-2</v>
      </c>
      <c r="G125" s="46">
        <f t="shared" si="11"/>
        <v>-6.9243358932399651E-4</v>
      </c>
    </row>
    <row r="126" spans="1:7" x14ac:dyDescent="0.25">
      <c r="A126" t="s">
        <v>389</v>
      </c>
      <c r="B126" t="s">
        <v>390</v>
      </c>
      <c r="C126" s="30">
        <v>76.341999999999999</v>
      </c>
      <c r="D126" s="30">
        <v>70.945999999999998</v>
      </c>
      <c r="E126" s="42">
        <f t="shared" si="9"/>
        <v>71.007834000000003</v>
      </c>
      <c r="F126" s="44">
        <f t="shared" si="10"/>
        <v>-6.1834000000004608E-2</v>
      </c>
      <c r="G126" s="46">
        <f t="shared" si="11"/>
        <v>-8.7080532550823343E-4</v>
      </c>
    </row>
    <row r="127" spans="1:7" x14ac:dyDescent="0.25">
      <c r="A127" t="s">
        <v>223</v>
      </c>
      <c r="B127" t="s">
        <v>224</v>
      </c>
      <c r="C127" s="30">
        <v>85.8</v>
      </c>
      <c r="D127" s="30">
        <v>79.7</v>
      </c>
      <c r="E127" s="42">
        <f t="shared" si="9"/>
        <v>79.775400000000005</v>
      </c>
      <c r="F127" s="44">
        <f t="shared" si="10"/>
        <v>-7.540000000000191E-2</v>
      </c>
      <c r="G127" s="46">
        <f t="shared" si="11"/>
        <v>-9.451535185032216E-4</v>
      </c>
    </row>
    <row r="128" spans="1:7" x14ac:dyDescent="0.25">
      <c r="A128" t="s">
        <v>471</v>
      </c>
      <c r="B128" t="s">
        <v>472</v>
      </c>
      <c r="C128" s="30">
        <v>73.814999999999998</v>
      </c>
      <c r="D128" s="30">
        <v>68.478999999999999</v>
      </c>
      <c r="E128" s="42">
        <f t="shared" si="9"/>
        <v>68.665305000000004</v>
      </c>
      <c r="F128" s="44">
        <f t="shared" si="10"/>
        <v>-0.18630500000000438</v>
      </c>
      <c r="G128" s="46">
        <f t="shared" si="11"/>
        <v>-2.7132334153325958E-3</v>
      </c>
    </row>
    <row r="129" spans="1:7" x14ac:dyDescent="0.25">
      <c r="A129" t="s">
        <v>151</v>
      </c>
      <c r="B129" t="s">
        <v>495</v>
      </c>
      <c r="C129" s="30">
        <v>70.382999999999996</v>
      </c>
      <c r="D129" s="30">
        <v>65.278999999999996</v>
      </c>
      <c r="E129" s="42">
        <f t="shared" si="9"/>
        <v>65.483840999999998</v>
      </c>
      <c r="F129" s="44">
        <f t="shared" si="10"/>
        <v>-0.20484100000000183</v>
      </c>
      <c r="G129" s="46">
        <f t="shared" si="11"/>
        <v>-3.1281152246399511E-3</v>
      </c>
    </row>
    <row r="130" spans="1:7" x14ac:dyDescent="0.25">
      <c r="A130" t="s">
        <v>487</v>
      </c>
      <c r="B130" t="s">
        <v>488</v>
      </c>
      <c r="C130" s="30">
        <v>63.594000000000001</v>
      </c>
      <c r="D130" s="30">
        <v>58.968000000000004</v>
      </c>
      <c r="E130" s="42">
        <f t="shared" si="9"/>
        <v>59.190438</v>
      </c>
      <c r="F130" s="44">
        <f t="shared" si="10"/>
        <v>-0.2224379999999968</v>
      </c>
      <c r="G130" s="46">
        <f t="shared" si="11"/>
        <v>-3.7580056427356863E-3</v>
      </c>
    </row>
    <row r="131" spans="1:7" x14ac:dyDescent="0.25">
      <c r="A131" t="s">
        <v>417</v>
      </c>
      <c r="B131" t="s">
        <v>418</v>
      </c>
      <c r="C131" s="30">
        <v>58.545000000000002</v>
      </c>
      <c r="D131" s="30">
        <v>54.283000000000001</v>
      </c>
      <c r="E131" s="42">
        <f t="shared" si="9"/>
        <v>54.510015000000003</v>
      </c>
      <c r="F131" s="44">
        <f t="shared" si="10"/>
        <v>-0.22701500000000152</v>
      </c>
      <c r="G131" s="46">
        <f t="shared" si="11"/>
        <v>-4.1646475422911092E-3</v>
      </c>
    </row>
    <row r="132" spans="1:7" x14ac:dyDescent="0.25">
      <c r="A132" t="s">
        <v>181</v>
      </c>
      <c r="B132" t="s">
        <v>182</v>
      </c>
      <c r="C132" s="30">
        <v>79.66</v>
      </c>
      <c r="D132" s="30">
        <v>73.841999999999999</v>
      </c>
      <c r="E132" s="42">
        <f t="shared" si="9"/>
        <v>74.083619999999996</v>
      </c>
      <c r="F132" s="44">
        <f t="shared" si="10"/>
        <v>-0.2416199999999975</v>
      </c>
      <c r="G132" s="46">
        <f t="shared" si="11"/>
        <v>-3.261449696977517E-3</v>
      </c>
    </row>
    <row r="133" spans="1:7" x14ac:dyDescent="0.25">
      <c r="A133" t="s">
        <v>387</v>
      </c>
      <c r="B133" t="s">
        <v>388</v>
      </c>
      <c r="C133" s="30">
        <v>84.5</v>
      </c>
      <c r="D133" s="30">
        <v>78.3</v>
      </c>
      <c r="E133" s="42">
        <f t="shared" si="9"/>
        <v>78.570300000000003</v>
      </c>
      <c r="F133" s="44">
        <f t="shared" si="10"/>
        <v>-0.27030000000000598</v>
      </c>
      <c r="G133" s="46">
        <f t="shared" si="11"/>
        <v>-3.4402312324123235E-3</v>
      </c>
    </row>
    <row r="134" spans="1:7" x14ac:dyDescent="0.25">
      <c r="A134" t="s">
        <v>403</v>
      </c>
      <c r="B134" t="s">
        <v>404</v>
      </c>
      <c r="C134" s="30">
        <v>68.233000000000004</v>
      </c>
      <c r="D134" s="30">
        <v>63.207999999999998</v>
      </c>
      <c r="E134" s="42">
        <f t="shared" si="9"/>
        <v>63.490791000000002</v>
      </c>
      <c r="F134" s="44">
        <f t="shared" si="10"/>
        <v>-0.28279100000000312</v>
      </c>
      <c r="G134" s="46">
        <f t="shared" si="11"/>
        <v>-4.4540475169068706E-3</v>
      </c>
    </row>
    <row r="135" spans="1:7" x14ac:dyDescent="0.25">
      <c r="A135" t="s">
        <v>243</v>
      </c>
      <c r="B135" t="s">
        <v>244</v>
      </c>
      <c r="C135" s="30">
        <v>77.796000000000006</v>
      </c>
      <c r="D135" s="30">
        <v>72.06</v>
      </c>
      <c r="E135" s="42">
        <f t="shared" si="9"/>
        <v>72.355692000000005</v>
      </c>
      <c r="F135" s="44">
        <f t="shared" si="10"/>
        <v>-0.29569200000000251</v>
      </c>
      <c r="G135" s="46">
        <f t="shared" si="11"/>
        <v>-4.086644627764772E-3</v>
      </c>
    </row>
    <row r="136" spans="1:7" x14ac:dyDescent="0.25">
      <c r="A136" t="s">
        <v>451</v>
      </c>
      <c r="B136" t="s">
        <v>452</v>
      </c>
      <c r="C136" s="30">
        <v>73.614000000000004</v>
      </c>
      <c r="D136" s="30">
        <v>68.149000000000001</v>
      </c>
      <c r="E136" s="42">
        <f t="shared" si="9"/>
        <v>68.478978000000012</v>
      </c>
      <c r="F136" s="44">
        <f t="shared" si="10"/>
        <v>-0.32997800000001121</v>
      </c>
      <c r="G136" s="46">
        <f t="shared" si="11"/>
        <v>-4.8186758861969454E-3</v>
      </c>
    </row>
    <row r="137" spans="1:7" x14ac:dyDescent="0.25">
      <c r="A137" t="s">
        <v>281</v>
      </c>
      <c r="B137" t="s">
        <v>282</v>
      </c>
      <c r="C137" s="30">
        <v>65.158000000000001</v>
      </c>
      <c r="D137" s="30">
        <v>60.287999999999997</v>
      </c>
      <c r="E137" s="42">
        <f t="shared" si="9"/>
        <v>60.640266000000004</v>
      </c>
      <c r="F137" s="44">
        <f t="shared" si="10"/>
        <v>-0.3522660000000073</v>
      </c>
      <c r="G137" s="46">
        <f t="shared" si="11"/>
        <v>-5.8091104019894514E-3</v>
      </c>
    </row>
    <row r="138" spans="1:7" x14ac:dyDescent="0.25">
      <c r="A138" t="s">
        <v>355</v>
      </c>
      <c r="B138" t="s">
        <v>356</v>
      </c>
      <c r="C138" s="30">
        <v>76.680999999999997</v>
      </c>
      <c r="D138" s="30">
        <v>70.963999999999999</v>
      </c>
      <c r="E138" s="42">
        <f t="shared" si="9"/>
        <v>71.322086999999996</v>
      </c>
      <c r="F138" s="44">
        <f t="shared" si="10"/>
        <v>-0.3580869999999976</v>
      </c>
      <c r="G138" s="46">
        <f t="shared" si="11"/>
        <v>-5.0207027733217852E-3</v>
      </c>
    </row>
    <row r="139" spans="1:7" x14ac:dyDescent="0.25">
      <c r="A139" t="s">
        <v>245</v>
      </c>
      <c r="B139" t="s">
        <v>246</v>
      </c>
      <c r="C139" s="30">
        <v>75.570999999999998</v>
      </c>
      <c r="D139" s="30">
        <v>69.896000000000001</v>
      </c>
      <c r="E139" s="42">
        <f t="shared" ref="E139:E170" si="12" xml:space="preserve"> 0.927*C139 + 0.2388</f>
        <v>70.293116999999995</v>
      </c>
      <c r="F139" s="44">
        <f t="shared" ref="F139:F170" si="13">D139-E139</f>
        <v>-0.39711699999999439</v>
      </c>
      <c r="G139" s="46">
        <f t="shared" ref="G139:G170" si="14">F139/E139</f>
        <v>-5.6494436005732175E-3</v>
      </c>
    </row>
    <row r="140" spans="1:7" x14ac:dyDescent="0.25">
      <c r="A140" t="s">
        <v>163</v>
      </c>
      <c r="B140" t="s">
        <v>164</v>
      </c>
      <c r="C140" s="30">
        <v>56.587000000000003</v>
      </c>
      <c r="D140" s="30">
        <v>52.284999999999997</v>
      </c>
      <c r="E140" s="42">
        <f t="shared" si="12"/>
        <v>52.694949000000001</v>
      </c>
      <c r="F140" s="44">
        <f t="shared" si="13"/>
        <v>-0.40994900000000456</v>
      </c>
      <c r="G140" s="46">
        <f t="shared" si="14"/>
        <v>-7.7796640433223409E-3</v>
      </c>
    </row>
    <row r="141" spans="1:7" x14ac:dyDescent="0.25">
      <c r="A141" t="s">
        <v>197</v>
      </c>
      <c r="B141" t="s">
        <v>198</v>
      </c>
      <c r="C141" s="30">
        <v>65.582999999999998</v>
      </c>
      <c r="D141" s="30">
        <v>60.59</v>
      </c>
      <c r="E141" s="42">
        <f t="shared" si="12"/>
        <v>61.034241000000002</v>
      </c>
      <c r="F141" s="44">
        <f t="shared" si="13"/>
        <v>-0.44424099999999811</v>
      </c>
      <c r="G141" s="46">
        <f t="shared" si="14"/>
        <v>-7.2785536892315591E-3</v>
      </c>
    </row>
    <row r="142" spans="1:7" x14ac:dyDescent="0.25">
      <c r="A142" t="s">
        <v>379</v>
      </c>
      <c r="B142" t="s">
        <v>380</v>
      </c>
      <c r="C142" s="30">
        <v>68.123000000000005</v>
      </c>
      <c r="D142" s="30">
        <v>62.869</v>
      </c>
      <c r="E142" s="42">
        <f t="shared" si="12"/>
        <v>63.388821000000007</v>
      </c>
      <c r="F142" s="44">
        <f t="shared" si="13"/>
        <v>-0.51982100000000742</v>
      </c>
      <c r="G142" s="46">
        <f t="shared" si="14"/>
        <v>-8.2005153558544243E-3</v>
      </c>
    </row>
    <row r="143" spans="1:7" x14ac:dyDescent="0.25">
      <c r="A143" t="s">
        <v>371</v>
      </c>
      <c r="B143" t="s">
        <v>372</v>
      </c>
      <c r="C143" s="30">
        <v>81.024000000000001</v>
      </c>
      <c r="D143" s="30">
        <v>74.825999999999993</v>
      </c>
      <c r="E143" s="42">
        <f t="shared" si="12"/>
        <v>75.348048000000006</v>
      </c>
      <c r="F143" s="44">
        <f t="shared" si="13"/>
        <v>-0.52204800000001228</v>
      </c>
      <c r="G143" s="46">
        <f t="shared" si="14"/>
        <v>-6.9284873843050614E-3</v>
      </c>
    </row>
    <row r="144" spans="1:7" x14ac:dyDescent="0.25">
      <c r="A144" t="s">
        <v>299</v>
      </c>
      <c r="B144" t="s">
        <v>300</v>
      </c>
      <c r="C144" s="30">
        <v>75.876999999999995</v>
      </c>
      <c r="D144" s="30">
        <v>70.016999999999996</v>
      </c>
      <c r="E144" s="42">
        <f t="shared" si="12"/>
        <v>70.576779000000002</v>
      </c>
      <c r="F144" s="44">
        <f t="shared" si="13"/>
        <v>-0.55977900000000602</v>
      </c>
      <c r="G144" s="46">
        <f t="shared" si="14"/>
        <v>-7.9314897609595644E-3</v>
      </c>
    </row>
    <row r="145" spans="1:7" x14ac:dyDescent="0.25">
      <c r="A145" t="s">
        <v>457</v>
      </c>
      <c r="B145" t="s">
        <v>529</v>
      </c>
      <c r="C145" s="30">
        <v>80.683999999999997</v>
      </c>
      <c r="D145" s="30">
        <v>74.417000000000002</v>
      </c>
      <c r="E145" s="42">
        <f t="shared" si="12"/>
        <v>75.032867999999993</v>
      </c>
      <c r="F145" s="44">
        <f t="shared" si="13"/>
        <v>-0.61586799999999187</v>
      </c>
      <c r="G145" s="46">
        <f t="shared" si="14"/>
        <v>-8.2079762698127421E-3</v>
      </c>
    </row>
    <row r="146" spans="1:7" x14ac:dyDescent="0.25">
      <c r="A146" t="s">
        <v>109</v>
      </c>
      <c r="B146" t="s">
        <v>110</v>
      </c>
      <c r="C146" s="30">
        <v>64.716999999999999</v>
      </c>
      <c r="D146" s="30">
        <v>59.582000000000001</v>
      </c>
      <c r="E146" s="42">
        <f t="shared" si="12"/>
        <v>60.231459000000001</v>
      </c>
      <c r="F146" s="44">
        <f t="shared" si="13"/>
        <v>-0.64945900000000023</v>
      </c>
      <c r="G146" s="46">
        <f t="shared" si="14"/>
        <v>-1.0782720704142336E-2</v>
      </c>
    </row>
    <row r="147" spans="1:7" x14ac:dyDescent="0.25">
      <c r="A147" t="s">
        <v>127</v>
      </c>
      <c r="B147" t="s">
        <v>128</v>
      </c>
      <c r="C147" s="30">
        <v>75.707999999999998</v>
      </c>
      <c r="D147" s="30">
        <v>69.692999999999998</v>
      </c>
      <c r="E147" s="42">
        <f t="shared" si="12"/>
        <v>70.420115999999993</v>
      </c>
      <c r="F147" s="44">
        <f t="shared" si="13"/>
        <v>-0.72711599999999521</v>
      </c>
      <c r="G147" s="46">
        <f t="shared" si="14"/>
        <v>-1.0325401906466546E-2</v>
      </c>
    </row>
    <row r="148" spans="1:7" x14ac:dyDescent="0.25">
      <c r="A148" t="s">
        <v>485</v>
      </c>
      <c r="B148" t="s">
        <v>486</v>
      </c>
      <c r="C148" s="30">
        <v>64.915999999999997</v>
      </c>
      <c r="D148" s="30">
        <v>59.673999999999999</v>
      </c>
      <c r="E148" s="42">
        <f t="shared" si="12"/>
        <v>60.415931999999998</v>
      </c>
      <c r="F148" s="44">
        <f t="shared" si="13"/>
        <v>-0.74193199999999848</v>
      </c>
      <c r="G148" s="46">
        <f t="shared" si="14"/>
        <v>-1.2280403122805397E-2</v>
      </c>
    </row>
    <row r="149" spans="1:7" x14ac:dyDescent="0.25">
      <c r="A149" t="s">
        <v>251</v>
      </c>
      <c r="B149" t="s">
        <v>252</v>
      </c>
      <c r="C149" s="30">
        <v>81.400000000000006</v>
      </c>
      <c r="D149" s="30">
        <v>74.900000000000006</v>
      </c>
      <c r="E149" s="42">
        <f t="shared" si="12"/>
        <v>75.696600000000004</v>
      </c>
      <c r="F149" s="44">
        <f t="shared" si="13"/>
        <v>-0.79659999999999798</v>
      </c>
      <c r="G149" s="46">
        <f t="shared" si="14"/>
        <v>-1.0523590227302124E-2</v>
      </c>
    </row>
    <row r="150" spans="1:7" x14ac:dyDescent="0.25">
      <c r="A150" t="s">
        <v>149</v>
      </c>
      <c r="B150" t="s">
        <v>150</v>
      </c>
      <c r="C150" s="30">
        <v>77.021000000000001</v>
      </c>
      <c r="D150" s="30">
        <v>70.84</v>
      </c>
      <c r="E150" s="42">
        <f t="shared" si="12"/>
        <v>71.637267000000008</v>
      </c>
      <c r="F150" s="44">
        <f t="shared" si="13"/>
        <v>-0.79726700000000505</v>
      </c>
      <c r="G150" s="46">
        <f t="shared" si="14"/>
        <v>-1.1129221331126506E-2</v>
      </c>
    </row>
    <row r="151" spans="1:7" x14ac:dyDescent="0.25">
      <c r="A151" t="s">
        <v>423</v>
      </c>
      <c r="B151" t="s">
        <v>424</v>
      </c>
      <c r="C151" s="30">
        <v>71.444999999999993</v>
      </c>
      <c r="D151" s="30">
        <v>65.653000000000006</v>
      </c>
      <c r="E151" s="42">
        <f t="shared" si="12"/>
        <v>66.46831499999999</v>
      </c>
      <c r="F151" s="44">
        <f t="shared" si="13"/>
        <v>-0.81531499999998402</v>
      </c>
      <c r="G151" s="46">
        <f t="shared" si="14"/>
        <v>-1.2266220378837407E-2</v>
      </c>
    </row>
    <row r="152" spans="1:7" x14ac:dyDescent="0.25">
      <c r="A152" t="s">
        <v>153</v>
      </c>
      <c r="B152" t="s">
        <v>154</v>
      </c>
      <c r="C152" s="30">
        <v>78.266000000000005</v>
      </c>
      <c r="D152" s="30">
        <v>71.956000000000003</v>
      </c>
      <c r="E152" s="42">
        <f t="shared" si="12"/>
        <v>72.791382000000013</v>
      </c>
      <c r="F152" s="44">
        <f t="shared" si="13"/>
        <v>-0.83538200000000984</v>
      </c>
      <c r="G152" s="46">
        <f t="shared" si="14"/>
        <v>-1.1476386037017536E-2</v>
      </c>
    </row>
    <row r="153" spans="1:7" x14ac:dyDescent="0.25">
      <c r="A153" t="s">
        <v>455</v>
      </c>
      <c r="B153" t="s">
        <v>456</v>
      </c>
      <c r="C153" s="30">
        <v>79.322999999999993</v>
      </c>
      <c r="D153" s="30">
        <v>72.864000000000004</v>
      </c>
      <c r="E153" s="42">
        <f t="shared" si="12"/>
        <v>73.771220999999997</v>
      </c>
      <c r="F153" s="44">
        <f t="shared" si="13"/>
        <v>-0.90722099999999273</v>
      </c>
      <c r="G153" s="46">
        <f t="shared" si="14"/>
        <v>-1.2297763107377506E-2</v>
      </c>
    </row>
    <row r="154" spans="1:7" x14ac:dyDescent="0.25">
      <c r="A154" t="s">
        <v>203</v>
      </c>
      <c r="B154" t="s">
        <v>204</v>
      </c>
      <c r="C154" s="30">
        <v>76.498999999999995</v>
      </c>
      <c r="D154" s="30">
        <v>70.233000000000004</v>
      </c>
      <c r="E154" s="42">
        <f t="shared" si="12"/>
        <v>71.153373000000002</v>
      </c>
      <c r="F154" s="44">
        <f t="shared" si="13"/>
        <v>-0.92037299999999789</v>
      </c>
      <c r="G154" s="46">
        <f t="shared" si="14"/>
        <v>-1.2935057906530979E-2</v>
      </c>
    </row>
    <row r="155" spans="1:7" x14ac:dyDescent="0.25">
      <c r="A155" t="s">
        <v>343</v>
      </c>
      <c r="B155" t="s">
        <v>344</v>
      </c>
      <c r="C155" s="30">
        <v>77.72</v>
      </c>
      <c r="D155" s="30">
        <v>71.27</v>
      </c>
      <c r="E155" s="42">
        <f t="shared" si="12"/>
        <v>72.285240000000002</v>
      </c>
      <c r="F155" s="44">
        <f t="shared" si="13"/>
        <v>-1.0152400000000057</v>
      </c>
      <c r="G155" s="46">
        <f t="shared" si="14"/>
        <v>-1.4044914286789469E-2</v>
      </c>
    </row>
    <row r="156" spans="1:7" x14ac:dyDescent="0.25">
      <c r="A156" t="s">
        <v>217</v>
      </c>
      <c r="B156" t="s">
        <v>218</v>
      </c>
      <c r="C156" s="30">
        <v>68.397000000000006</v>
      </c>
      <c r="D156" s="30">
        <v>62.606000000000002</v>
      </c>
      <c r="E156" s="42">
        <f t="shared" si="12"/>
        <v>63.642819000000003</v>
      </c>
      <c r="F156" s="44">
        <f t="shared" si="13"/>
        <v>-1.0368190000000013</v>
      </c>
      <c r="G156" s="46">
        <f t="shared" si="14"/>
        <v>-1.6291217395634237E-2</v>
      </c>
    </row>
    <row r="157" spans="1:7" x14ac:dyDescent="0.25">
      <c r="A157" t="s">
        <v>253</v>
      </c>
      <c r="B157" t="s">
        <v>254</v>
      </c>
      <c r="C157" s="30">
        <v>66.918999999999997</v>
      </c>
      <c r="D157" s="30">
        <v>61.231000000000002</v>
      </c>
      <c r="E157" s="42">
        <f t="shared" si="12"/>
        <v>62.272712999999996</v>
      </c>
      <c r="F157" s="44">
        <f t="shared" si="13"/>
        <v>-1.0417129999999943</v>
      </c>
      <c r="G157" s="46">
        <f t="shared" si="14"/>
        <v>-1.6728241790268467E-2</v>
      </c>
    </row>
    <row r="158" spans="1:7" x14ac:dyDescent="0.25">
      <c r="A158" t="s">
        <v>323</v>
      </c>
      <c r="B158" t="s">
        <v>324</v>
      </c>
      <c r="C158" s="30">
        <v>77.286000000000001</v>
      </c>
      <c r="D158" s="30">
        <v>70.828999999999994</v>
      </c>
      <c r="E158" s="42">
        <f t="shared" si="12"/>
        <v>71.882922000000008</v>
      </c>
      <c r="F158" s="44">
        <f t="shared" si="13"/>
        <v>-1.0539220000000142</v>
      </c>
      <c r="G158" s="46">
        <f t="shared" si="14"/>
        <v>-1.4661646614755228E-2</v>
      </c>
    </row>
    <row r="159" spans="1:7" x14ac:dyDescent="0.25">
      <c r="A159" t="s">
        <v>117</v>
      </c>
      <c r="B159" t="s">
        <v>118</v>
      </c>
      <c r="C159" s="30">
        <v>80.328999999999994</v>
      </c>
      <c r="D159" s="30">
        <v>73.631</v>
      </c>
      <c r="E159" s="42">
        <f t="shared" si="12"/>
        <v>74.703783000000001</v>
      </c>
      <c r="F159" s="44">
        <f t="shared" si="13"/>
        <v>-1.0727830000000012</v>
      </c>
      <c r="G159" s="46">
        <f t="shared" si="14"/>
        <v>-1.4360490953985571E-2</v>
      </c>
    </row>
    <row r="160" spans="1:7" x14ac:dyDescent="0.25">
      <c r="A160" t="s">
        <v>339</v>
      </c>
      <c r="B160" t="s">
        <v>340</v>
      </c>
      <c r="C160" s="30">
        <v>63.234000000000002</v>
      </c>
      <c r="D160" s="30">
        <v>57.720999999999997</v>
      </c>
      <c r="E160" s="42">
        <f t="shared" si="12"/>
        <v>58.856718000000001</v>
      </c>
      <c r="F160" s="44">
        <f t="shared" si="13"/>
        <v>-1.1357180000000042</v>
      </c>
      <c r="G160" s="46">
        <f t="shared" si="14"/>
        <v>-1.9296318901098158E-2</v>
      </c>
    </row>
    <row r="161" spans="1:7" x14ac:dyDescent="0.25">
      <c r="A161" t="s">
        <v>427</v>
      </c>
      <c r="B161" t="s">
        <v>528</v>
      </c>
      <c r="C161" s="30">
        <v>80.8</v>
      </c>
      <c r="D161" s="30">
        <v>73.900000000000006</v>
      </c>
      <c r="E161" s="42">
        <f t="shared" si="12"/>
        <v>75.1404</v>
      </c>
      <c r="F161" s="44">
        <f t="shared" si="13"/>
        <v>-1.240399999999994</v>
      </c>
      <c r="G161" s="46">
        <f t="shared" si="14"/>
        <v>-1.6507764132211087E-2</v>
      </c>
    </row>
    <row r="162" spans="1:7" x14ac:dyDescent="0.25">
      <c r="A162" t="s">
        <v>255</v>
      </c>
      <c r="B162" t="s">
        <v>256</v>
      </c>
      <c r="C162" s="30">
        <v>79.599999999999994</v>
      </c>
      <c r="D162" s="30">
        <v>72.7</v>
      </c>
      <c r="E162" s="42">
        <f t="shared" si="12"/>
        <v>74.027999999999992</v>
      </c>
      <c r="F162" s="44">
        <f t="shared" si="13"/>
        <v>-1.3279999999999887</v>
      </c>
      <c r="G162" s="46">
        <f t="shared" si="14"/>
        <v>-1.7939158156373113E-2</v>
      </c>
    </row>
    <row r="163" spans="1:7" x14ac:dyDescent="0.25">
      <c r="A163" t="s">
        <v>425</v>
      </c>
      <c r="B163" t="s">
        <v>426</v>
      </c>
      <c r="C163" s="30">
        <v>75.936999999999998</v>
      </c>
      <c r="D163" s="30">
        <v>69.284999999999997</v>
      </c>
      <c r="E163" s="42">
        <f t="shared" si="12"/>
        <v>70.632398999999992</v>
      </c>
      <c r="F163" s="44">
        <f t="shared" si="13"/>
        <v>-1.3473989999999958</v>
      </c>
      <c r="G163" s="46">
        <f t="shared" si="14"/>
        <v>-1.9076217416882528E-2</v>
      </c>
    </row>
    <row r="164" spans="1:7" x14ac:dyDescent="0.25">
      <c r="A164" t="s">
        <v>333</v>
      </c>
      <c r="B164" t="s">
        <v>334</v>
      </c>
      <c r="C164" s="30">
        <v>69.676000000000002</v>
      </c>
      <c r="D164" s="30">
        <v>63.406999999999996</v>
      </c>
      <c r="E164" s="42">
        <f t="shared" si="12"/>
        <v>64.828451999999999</v>
      </c>
      <c r="F164" s="44">
        <f t="shared" si="13"/>
        <v>-1.4214520000000022</v>
      </c>
      <c r="G164" s="46">
        <f t="shared" si="14"/>
        <v>-2.1926360357949041E-2</v>
      </c>
    </row>
    <row r="165" spans="1:7" x14ac:dyDescent="0.25">
      <c r="A165" t="s">
        <v>199</v>
      </c>
      <c r="B165" t="s">
        <v>200</v>
      </c>
      <c r="C165" s="30">
        <v>77.247</v>
      </c>
      <c r="D165" s="30">
        <v>70.405000000000001</v>
      </c>
      <c r="E165" s="42">
        <f t="shared" si="12"/>
        <v>71.846768999999995</v>
      </c>
      <c r="F165" s="44">
        <f t="shared" si="13"/>
        <v>-1.4417689999999936</v>
      </c>
      <c r="G165" s="46">
        <f t="shared" si="14"/>
        <v>-2.0067276790136434E-2</v>
      </c>
    </row>
    <row r="166" spans="1:7" x14ac:dyDescent="0.25">
      <c r="A166" t="s">
        <v>301</v>
      </c>
      <c r="B166" t="s">
        <v>518</v>
      </c>
      <c r="C166" s="30">
        <v>76.968000000000004</v>
      </c>
      <c r="D166" s="30">
        <v>70.022999999999996</v>
      </c>
      <c r="E166" s="42">
        <f t="shared" si="12"/>
        <v>71.588136000000006</v>
      </c>
      <c r="F166" s="44">
        <f t="shared" si="13"/>
        <v>-1.5651360000000096</v>
      </c>
      <c r="G166" s="46">
        <f t="shared" si="14"/>
        <v>-2.1863064013847345E-2</v>
      </c>
    </row>
    <row r="167" spans="1:7" x14ac:dyDescent="0.25">
      <c r="A167" t="s">
        <v>524</v>
      </c>
      <c r="B167" t="s">
        <v>525</v>
      </c>
      <c r="C167" s="30">
        <v>83.820999999999998</v>
      </c>
      <c r="D167" s="30">
        <v>76.367000000000004</v>
      </c>
      <c r="E167" s="42">
        <f t="shared" si="12"/>
        <v>77.940866999999997</v>
      </c>
      <c r="F167" s="44">
        <f t="shared" si="13"/>
        <v>-1.5738669999999928</v>
      </c>
      <c r="G167" s="46">
        <f t="shared" si="14"/>
        <v>-2.019309074403795E-2</v>
      </c>
    </row>
    <row r="168" spans="1:7" x14ac:dyDescent="0.25">
      <c r="A168" t="s">
        <v>139</v>
      </c>
      <c r="B168" t="s">
        <v>140</v>
      </c>
      <c r="C168" s="30">
        <v>78.599999999999994</v>
      </c>
      <c r="D168" s="30">
        <v>71.5</v>
      </c>
      <c r="E168" s="42">
        <f t="shared" si="12"/>
        <v>73.100999999999999</v>
      </c>
      <c r="F168" s="44">
        <f t="shared" si="13"/>
        <v>-1.6009999999999991</v>
      </c>
      <c r="G168" s="46">
        <f t="shared" si="14"/>
        <v>-2.1901205181871646E-2</v>
      </c>
    </row>
    <row r="169" spans="1:7" x14ac:dyDescent="0.25">
      <c r="A169" t="s">
        <v>287</v>
      </c>
      <c r="B169" t="s">
        <v>515</v>
      </c>
      <c r="C169" s="30">
        <v>75.084999999999994</v>
      </c>
      <c r="D169" s="30">
        <v>68.206000000000003</v>
      </c>
      <c r="E169" s="42">
        <f t="shared" si="12"/>
        <v>69.842594999999989</v>
      </c>
      <c r="F169" s="44">
        <f t="shared" si="13"/>
        <v>-1.6365949999999856</v>
      </c>
      <c r="G169" s="46">
        <f t="shared" si="14"/>
        <v>-2.343262016538741E-2</v>
      </c>
    </row>
    <row r="170" spans="1:7" x14ac:dyDescent="0.25">
      <c r="A170" t="s">
        <v>453</v>
      </c>
      <c r="B170" t="s">
        <v>454</v>
      </c>
      <c r="C170" s="30">
        <v>77.352999999999994</v>
      </c>
      <c r="D170" s="30">
        <v>70.299000000000007</v>
      </c>
      <c r="E170" s="42">
        <f t="shared" si="12"/>
        <v>71.945031</v>
      </c>
      <c r="F170" s="44">
        <f t="shared" si="13"/>
        <v>-1.6460309999999936</v>
      </c>
      <c r="G170" s="46">
        <f t="shared" si="14"/>
        <v>-2.2879008836621303E-2</v>
      </c>
    </row>
    <row r="171" spans="1:7" x14ac:dyDescent="0.25">
      <c r="A171" t="s">
        <v>143</v>
      </c>
      <c r="B171" t="s">
        <v>494</v>
      </c>
      <c r="C171" s="30">
        <v>77.319999999999993</v>
      </c>
      <c r="D171" s="30">
        <v>70.224999999999994</v>
      </c>
      <c r="E171" s="42">
        <f t="shared" ref="E171:E207" si="15" xml:space="preserve"> 0.927*C171 + 0.2388</f>
        <v>71.914439999999999</v>
      </c>
      <c r="F171" s="44">
        <f t="shared" ref="F171:F202" si="16">D171-E171</f>
        <v>-1.6894400000000047</v>
      </c>
      <c r="G171" s="46">
        <f t="shared" ref="G171:G202" si="17">F171/E171</f>
        <v>-2.349236120033758E-2</v>
      </c>
    </row>
    <row r="172" spans="1:7" x14ac:dyDescent="0.25">
      <c r="A172" t="s">
        <v>305</v>
      </c>
      <c r="B172" t="s">
        <v>306</v>
      </c>
      <c r="C172" s="30">
        <v>56.591000000000001</v>
      </c>
      <c r="D172" s="30">
        <v>50.991999999999997</v>
      </c>
      <c r="E172" s="42">
        <f t="shared" si="15"/>
        <v>52.698657000000004</v>
      </c>
      <c r="F172" s="44">
        <f t="shared" si="16"/>
        <v>-1.706657000000007</v>
      </c>
      <c r="G172" s="46">
        <f t="shared" si="17"/>
        <v>-3.2385208602185189E-2</v>
      </c>
    </row>
    <row r="173" spans="1:7" x14ac:dyDescent="0.25">
      <c r="A173" t="s">
        <v>447</v>
      </c>
      <c r="B173" t="s">
        <v>448</v>
      </c>
      <c r="C173" s="30">
        <v>72.191999999999993</v>
      </c>
      <c r="D173" s="30">
        <v>65.408000000000001</v>
      </c>
      <c r="E173" s="42">
        <f t="shared" si="15"/>
        <v>67.160783999999992</v>
      </c>
      <c r="F173" s="44">
        <f t="shared" si="16"/>
        <v>-1.7527839999999912</v>
      </c>
      <c r="G173" s="46">
        <f t="shared" si="17"/>
        <v>-2.6098325475175981E-2</v>
      </c>
    </row>
    <row r="174" spans="1:7" x14ac:dyDescent="0.25">
      <c r="A174" t="s">
        <v>483</v>
      </c>
      <c r="B174" t="s">
        <v>484</v>
      </c>
      <c r="C174" s="30">
        <v>68.739999999999995</v>
      </c>
      <c r="D174" s="30">
        <v>62.203000000000003</v>
      </c>
      <c r="E174" s="42">
        <f t="shared" si="15"/>
        <v>63.960779999999993</v>
      </c>
      <c r="F174" s="44">
        <f t="shared" si="16"/>
        <v>-1.7577799999999897</v>
      </c>
      <c r="G174" s="46">
        <f t="shared" si="17"/>
        <v>-2.7482153907441246E-2</v>
      </c>
    </row>
    <row r="175" spans="1:7" x14ac:dyDescent="0.25">
      <c r="A175" t="s">
        <v>502</v>
      </c>
      <c r="B175" t="s">
        <v>503</v>
      </c>
      <c r="C175" s="30">
        <v>74.954999999999998</v>
      </c>
      <c r="D175" s="30">
        <v>67.92</v>
      </c>
      <c r="E175" s="42">
        <f t="shared" si="15"/>
        <v>69.722084999999993</v>
      </c>
      <c r="F175" s="44">
        <f t="shared" si="16"/>
        <v>-1.8020849999999911</v>
      </c>
      <c r="G175" s="46">
        <f t="shared" si="17"/>
        <v>-2.5846688319776885E-2</v>
      </c>
    </row>
    <row r="176" spans="1:7" x14ac:dyDescent="0.25">
      <c r="A176" t="s">
        <v>467</v>
      </c>
      <c r="B176" t="s">
        <v>468</v>
      </c>
      <c r="C176" s="30">
        <v>81.283000000000001</v>
      </c>
      <c r="D176" s="30">
        <v>73.753</v>
      </c>
      <c r="E176" s="42">
        <f t="shared" si="15"/>
        <v>75.588141000000007</v>
      </c>
      <c r="F176" s="44">
        <f t="shared" si="16"/>
        <v>-1.8351410000000072</v>
      </c>
      <c r="G176" s="46">
        <f t="shared" si="17"/>
        <v>-2.427816024738599E-2</v>
      </c>
    </row>
    <row r="177" spans="1:7" x14ac:dyDescent="0.25">
      <c r="A177" t="s">
        <v>247</v>
      </c>
      <c r="B177" t="s">
        <v>248</v>
      </c>
      <c r="C177" s="30">
        <v>72.438999999999993</v>
      </c>
      <c r="D177" s="30">
        <v>65.503</v>
      </c>
      <c r="E177" s="42">
        <f t="shared" si="15"/>
        <v>67.389752999999999</v>
      </c>
      <c r="F177" s="44">
        <f t="shared" si="16"/>
        <v>-1.8867529999999988</v>
      </c>
      <c r="G177" s="46">
        <f t="shared" si="17"/>
        <v>-2.7997624505316093E-2</v>
      </c>
    </row>
    <row r="178" spans="1:7" x14ac:dyDescent="0.25">
      <c r="A178" t="s">
        <v>107</v>
      </c>
      <c r="B178" t="s">
        <v>108</v>
      </c>
      <c r="C178" s="30">
        <v>66.457999999999998</v>
      </c>
      <c r="D178" s="30">
        <v>59.923000000000002</v>
      </c>
      <c r="E178" s="42">
        <f t="shared" si="15"/>
        <v>61.845365999999999</v>
      </c>
      <c r="F178" s="44">
        <f t="shared" si="16"/>
        <v>-1.9223659999999967</v>
      </c>
      <c r="G178" s="46">
        <f t="shared" si="17"/>
        <v>-3.1083428304070456E-2</v>
      </c>
    </row>
    <row r="179" spans="1:7" x14ac:dyDescent="0.25">
      <c r="A179" t="s">
        <v>303</v>
      </c>
      <c r="B179" t="s">
        <v>304</v>
      </c>
      <c r="C179" s="30">
        <v>79.492999999999995</v>
      </c>
      <c r="D179" s="30">
        <v>71.983000000000004</v>
      </c>
      <c r="E179" s="42">
        <f t="shared" si="15"/>
        <v>73.928810999999996</v>
      </c>
      <c r="F179" s="44">
        <f t="shared" si="16"/>
        <v>-1.945810999999992</v>
      </c>
      <c r="G179" s="46">
        <f t="shared" si="17"/>
        <v>-2.6320063500006676E-2</v>
      </c>
    </row>
    <row r="180" spans="1:7" x14ac:dyDescent="0.25">
      <c r="A180" t="s">
        <v>395</v>
      </c>
      <c r="B180" t="s">
        <v>396</v>
      </c>
      <c r="C180" s="30">
        <v>79.2</v>
      </c>
      <c r="D180" s="30">
        <v>71.7</v>
      </c>
      <c r="E180" s="42">
        <f t="shared" si="15"/>
        <v>73.657200000000003</v>
      </c>
      <c r="F180" s="44">
        <f t="shared" si="16"/>
        <v>-1.9572000000000003</v>
      </c>
      <c r="G180" s="46">
        <f t="shared" si="17"/>
        <v>-2.6571740440853035E-2</v>
      </c>
    </row>
    <row r="181" spans="1:7" x14ac:dyDescent="0.25">
      <c r="A181" t="s">
        <v>381</v>
      </c>
      <c r="B181" t="s">
        <v>382</v>
      </c>
      <c r="C181" s="30">
        <v>81.7</v>
      </c>
      <c r="D181" s="30">
        <v>73.7</v>
      </c>
      <c r="E181" s="42">
        <f t="shared" si="15"/>
        <v>75.974699999999999</v>
      </c>
      <c r="F181" s="44">
        <f t="shared" si="16"/>
        <v>-2.2746999999999957</v>
      </c>
      <c r="G181" s="46">
        <f t="shared" si="17"/>
        <v>-2.9940230102915782E-2</v>
      </c>
    </row>
    <row r="182" spans="1:7" x14ac:dyDescent="0.25">
      <c r="A182" t="s">
        <v>363</v>
      </c>
      <c r="B182" t="s">
        <v>364</v>
      </c>
      <c r="C182" s="30">
        <v>66.989000000000004</v>
      </c>
      <c r="D182" s="30">
        <v>59.883000000000003</v>
      </c>
      <c r="E182" s="42">
        <f t="shared" si="15"/>
        <v>62.337603000000001</v>
      </c>
      <c r="F182" s="44">
        <f t="shared" si="16"/>
        <v>-2.4546029999999988</v>
      </c>
      <c r="G182" s="46">
        <f t="shared" si="17"/>
        <v>-3.937596060599248E-2</v>
      </c>
    </row>
    <row r="183" spans="1:7" x14ac:dyDescent="0.25">
      <c r="A183" t="s">
        <v>345</v>
      </c>
      <c r="B183" t="s">
        <v>346</v>
      </c>
      <c r="C183" s="30">
        <v>66.959999999999994</v>
      </c>
      <c r="D183" s="30">
        <v>59.723999999999997</v>
      </c>
      <c r="E183" s="42">
        <f t="shared" si="15"/>
        <v>62.310719999999996</v>
      </c>
      <c r="F183" s="44">
        <f t="shared" si="16"/>
        <v>-2.5867199999999997</v>
      </c>
      <c r="G183" s="46">
        <f t="shared" si="17"/>
        <v>-4.1513242023202425E-2</v>
      </c>
    </row>
    <row r="184" spans="1:7" x14ac:dyDescent="0.25">
      <c r="A184" t="s">
        <v>349</v>
      </c>
      <c r="B184" t="s">
        <v>350</v>
      </c>
      <c r="C184" s="30">
        <v>66.176000000000002</v>
      </c>
      <c r="D184" s="30">
        <v>58.930999999999997</v>
      </c>
      <c r="E184" s="42">
        <f t="shared" si="15"/>
        <v>61.583952000000004</v>
      </c>
      <c r="F184" s="44">
        <f t="shared" si="16"/>
        <v>-2.6529520000000062</v>
      </c>
      <c r="G184" s="46">
        <f t="shared" si="17"/>
        <v>-4.3078625418518222E-2</v>
      </c>
    </row>
    <row r="185" spans="1:7" x14ac:dyDescent="0.25">
      <c r="A185" t="s">
        <v>383</v>
      </c>
      <c r="B185" t="s">
        <v>384</v>
      </c>
      <c r="C185" s="30">
        <v>84.236000000000004</v>
      </c>
      <c r="D185" s="30">
        <v>75.474999999999994</v>
      </c>
      <c r="E185" s="42">
        <f t="shared" si="15"/>
        <v>78.325572000000008</v>
      </c>
      <c r="F185" s="44">
        <f t="shared" si="16"/>
        <v>-2.8505720000000139</v>
      </c>
      <c r="G185" s="46">
        <f t="shared" si="17"/>
        <v>-3.6393886788340511E-2</v>
      </c>
    </row>
    <row r="186" spans="1:7" x14ac:dyDescent="0.25">
      <c r="A186" t="s">
        <v>215</v>
      </c>
      <c r="B186" t="s">
        <v>216</v>
      </c>
      <c r="C186" s="30">
        <v>82.7</v>
      </c>
      <c r="D186" s="30">
        <v>74</v>
      </c>
      <c r="E186" s="42">
        <f t="shared" si="15"/>
        <v>76.901700000000005</v>
      </c>
      <c r="F186" s="44">
        <f t="shared" si="16"/>
        <v>-2.9017000000000053</v>
      </c>
      <c r="G186" s="46">
        <f t="shared" si="17"/>
        <v>-3.7732585885617682E-2</v>
      </c>
    </row>
    <row r="187" spans="1:7" x14ac:dyDescent="0.25">
      <c r="A187" t="s">
        <v>433</v>
      </c>
      <c r="B187" t="s">
        <v>434</v>
      </c>
      <c r="C187" s="30">
        <v>63.168999999999997</v>
      </c>
      <c r="D187" s="30">
        <v>55.881999999999998</v>
      </c>
      <c r="E187" s="42">
        <f t="shared" si="15"/>
        <v>58.796462999999996</v>
      </c>
      <c r="F187" s="44">
        <f t="shared" si="16"/>
        <v>-2.9144629999999978</v>
      </c>
      <c r="G187" s="46">
        <f t="shared" si="17"/>
        <v>-4.9568678986693433E-2</v>
      </c>
    </row>
    <row r="188" spans="1:7" x14ac:dyDescent="0.25">
      <c r="A188" t="s">
        <v>283</v>
      </c>
      <c r="B188" t="s">
        <v>512</v>
      </c>
      <c r="C188" s="30">
        <v>75.599999999999994</v>
      </c>
      <c r="D188" s="30">
        <v>67.400000000000006</v>
      </c>
      <c r="E188" s="42">
        <f t="shared" si="15"/>
        <v>70.319999999999993</v>
      </c>
      <c r="F188" s="44">
        <f t="shared" si="16"/>
        <v>-2.9199999999999875</v>
      </c>
      <c r="G188" s="46">
        <f t="shared" si="17"/>
        <v>-4.1524459613196639E-2</v>
      </c>
    </row>
    <row r="189" spans="1:7" x14ac:dyDescent="0.25">
      <c r="A189" t="s">
        <v>481</v>
      </c>
      <c r="B189" t="s">
        <v>539</v>
      </c>
      <c r="C189" s="30">
        <v>68.600999999999999</v>
      </c>
      <c r="D189" s="30">
        <v>60.901000000000003</v>
      </c>
      <c r="E189" s="42">
        <f t="shared" si="15"/>
        <v>63.831927</v>
      </c>
      <c r="F189" s="44">
        <f t="shared" si="16"/>
        <v>-2.930926999999997</v>
      </c>
      <c r="G189" s="46">
        <f t="shared" si="17"/>
        <v>-4.5916317080635788E-2</v>
      </c>
    </row>
    <row r="190" spans="1:7" x14ac:dyDescent="0.25">
      <c r="A190" t="s">
        <v>185</v>
      </c>
      <c r="B190" t="s">
        <v>186</v>
      </c>
      <c r="C190" s="30">
        <v>79.875</v>
      </c>
      <c r="D190" s="30">
        <v>71.343999999999994</v>
      </c>
      <c r="E190" s="42">
        <f t="shared" si="15"/>
        <v>74.282925000000006</v>
      </c>
      <c r="F190" s="44">
        <f t="shared" si="16"/>
        <v>-2.9389250000000118</v>
      </c>
      <c r="G190" s="46">
        <f t="shared" si="17"/>
        <v>-3.9563937472844687E-2</v>
      </c>
    </row>
    <row r="191" spans="1:7" x14ac:dyDescent="0.25">
      <c r="A191" t="s">
        <v>279</v>
      </c>
      <c r="B191" t="s">
        <v>280</v>
      </c>
      <c r="C191" s="30">
        <v>77.19</v>
      </c>
      <c r="D191" s="30">
        <v>68.84</v>
      </c>
      <c r="E191" s="42">
        <f t="shared" si="15"/>
        <v>71.793930000000003</v>
      </c>
      <c r="F191" s="44">
        <f t="shared" si="16"/>
        <v>-2.9539299999999997</v>
      </c>
      <c r="G191" s="46">
        <f t="shared" si="17"/>
        <v>-4.1144564728522307E-2</v>
      </c>
    </row>
    <row r="192" spans="1:7" x14ac:dyDescent="0.25">
      <c r="A192" t="s">
        <v>443</v>
      </c>
      <c r="B192" t="s">
        <v>444</v>
      </c>
      <c r="C192" s="30">
        <v>83.149000000000001</v>
      </c>
      <c r="D192" s="30">
        <v>74.314999999999998</v>
      </c>
      <c r="E192" s="42">
        <f t="shared" si="15"/>
        <v>77.317923000000008</v>
      </c>
      <c r="F192" s="44">
        <f t="shared" si="16"/>
        <v>-3.0029230000000098</v>
      </c>
      <c r="G192" s="46">
        <f t="shared" si="17"/>
        <v>-3.8838640298188162E-2</v>
      </c>
    </row>
    <row r="193" spans="1:7" x14ac:dyDescent="0.25">
      <c r="A193" t="s">
        <v>475</v>
      </c>
      <c r="B193" t="s">
        <v>535</v>
      </c>
      <c r="C193" s="30">
        <v>76.430999999999997</v>
      </c>
      <c r="D193" s="30">
        <v>67.831999999999994</v>
      </c>
      <c r="E193" s="42">
        <f t="shared" si="15"/>
        <v>71.090337000000005</v>
      </c>
      <c r="F193" s="44">
        <f t="shared" si="16"/>
        <v>-3.2583370000000116</v>
      </c>
      <c r="G193" s="46">
        <f t="shared" si="17"/>
        <v>-4.5833753749120805E-2</v>
      </c>
    </row>
    <row r="194" spans="1:7" x14ac:dyDescent="0.25">
      <c r="A194" t="s">
        <v>530</v>
      </c>
      <c r="B194" t="s">
        <v>531</v>
      </c>
      <c r="C194" s="30">
        <v>68.733999999999995</v>
      </c>
      <c r="D194" s="30">
        <v>60.57</v>
      </c>
      <c r="E194" s="42">
        <f t="shared" si="15"/>
        <v>63.955217999999995</v>
      </c>
      <c r="F194" s="44">
        <f t="shared" si="16"/>
        <v>-3.3852179999999947</v>
      </c>
      <c r="G194" s="46">
        <f t="shared" si="17"/>
        <v>-5.2931068110814584E-2</v>
      </c>
    </row>
    <row r="195" spans="1:7" x14ac:dyDescent="0.25">
      <c r="A195" t="s">
        <v>435</v>
      </c>
      <c r="B195" t="s">
        <v>436</v>
      </c>
      <c r="C195" s="30">
        <v>77.400000000000006</v>
      </c>
      <c r="D195" s="30">
        <v>68.5</v>
      </c>
      <c r="E195" s="42">
        <f t="shared" si="15"/>
        <v>71.988600000000005</v>
      </c>
      <c r="F195" s="44">
        <f t="shared" si="16"/>
        <v>-3.4886000000000053</v>
      </c>
      <c r="G195" s="46">
        <f t="shared" si="17"/>
        <v>-4.8460450682469236E-2</v>
      </c>
    </row>
    <row r="196" spans="1:7" x14ac:dyDescent="0.25">
      <c r="A196" t="s">
        <v>337</v>
      </c>
      <c r="B196" t="s">
        <v>338</v>
      </c>
      <c r="C196" s="30">
        <v>75.828999999999994</v>
      </c>
      <c r="D196" s="30">
        <v>66.811000000000007</v>
      </c>
      <c r="E196" s="42">
        <f t="shared" si="15"/>
        <v>70.532282999999993</v>
      </c>
      <c r="F196" s="44">
        <f t="shared" si="16"/>
        <v>-3.7212829999999855</v>
      </c>
      <c r="G196" s="46">
        <f t="shared" si="17"/>
        <v>-5.275999644021144E-2</v>
      </c>
    </row>
    <row r="197" spans="1:7" x14ac:dyDescent="0.25">
      <c r="A197" t="s">
        <v>477</v>
      </c>
      <c r="B197" t="s">
        <v>536</v>
      </c>
      <c r="C197" s="30">
        <v>78.777000000000001</v>
      </c>
      <c r="D197" s="30">
        <v>69.245000000000005</v>
      </c>
      <c r="E197" s="42">
        <f t="shared" si="15"/>
        <v>73.265079</v>
      </c>
      <c r="F197" s="44">
        <f t="shared" si="16"/>
        <v>-4.0200789999999955</v>
      </c>
      <c r="G197" s="46">
        <f t="shared" si="17"/>
        <v>-5.4870329150945099E-2</v>
      </c>
    </row>
    <row r="198" spans="1:7" x14ac:dyDescent="0.25">
      <c r="A198" t="s">
        <v>311</v>
      </c>
      <c r="B198" t="s">
        <v>312</v>
      </c>
      <c r="C198" s="30">
        <v>79.7</v>
      </c>
      <c r="D198" s="30">
        <v>70.099999999999994</v>
      </c>
      <c r="E198" s="42">
        <f t="shared" si="15"/>
        <v>74.120699999999999</v>
      </c>
      <c r="F198" s="44">
        <f t="shared" si="16"/>
        <v>-4.020700000000005</v>
      </c>
      <c r="G198" s="46">
        <f t="shared" si="17"/>
        <v>-5.4245305292583652E-2</v>
      </c>
    </row>
    <row r="199" spans="1:7" x14ac:dyDescent="0.25">
      <c r="A199" t="s">
        <v>119</v>
      </c>
      <c r="B199" t="s">
        <v>120</v>
      </c>
      <c r="C199" s="30">
        <v>79.600999999999999</v>
      </c>
      <c r="D199" s="30">
        <v>69.992000000000004</v>
      </c>
      <c r="E199" s="42">
        <f t="shared" si="15"/>
        <v>74.028926999999996</v>
      </c>
      <c r="F199" s="44">
        <f t="shared" si="16"/>
        <v>-4.0369269999999915</v>
      </c>
      <c r="G199" s="46">
        <f t="shared" si="17"/>
        <v>-5.4531750811409055E-2</v>
      </c>
    </row>
    <row r="200" spans="1:7" x14ac:dyDescent="0.25">
      <c r="A200" t="s">
        <v>317</v>
      </c>
      <c r="B200" t="s">
        <v>523</v>
      </c>
      <c r="C200" s="30">
        <v>75.231999999999999</v>
      </c>
      <c r="D200" s="30">
        <v>65.921000000000006</v>
      </c>
      <c r="E200" s="42">
        <f t="shared" si="15"/>
        <v>69.978864000000002</v>
      </c>
      <c r="F200" s="44">
        <f t="shared" si="16"/>
        <v>-4.057863999999995</v>
      </c>
      <c r="G200" s="46">
        <f t="shared" si="17"/>
        <v>-5.7986994473073969E-2</v>
      </c>
    </row>
    <row r="201" spans="1:7" x14ac:dyDescent="0.25">
      <c r="A201" t="s">
        <v>307</v>
      </c>
      <c r="B201" t="s">
        <v>308</v>
      </c>
      <c r="C201" s="30">
        <v>80.7</v>
      </c>
      <c r="D201" s="30">
        <v>70.900000000000006</v>
      </c>
      <c r="E201" s="42">
        <f t="shared" si="15"/>
        <v>75.047700000000006</v>
      </c>
      <c r="F201" s="44">
        <f t="shared" si="16"/>
        <v>-4.1477000000000004</v>
      </c>
      <c r="G201" s="46">
        <f t="shared" si="17"/>
        <v>-5.5267516526156031E-2</v>
      </c>
    </row>
    <row r="202" spans="1:7" x14ac:dyDescent="0.25">
      <c r="A202" t="s">
        <v>229</v>
      </c>
      <c r="B202" t="s">
        <v>230</v>
      </c>
      <c r="C202" s="30">
        <v>78.153000000000006</v>
      </c>
      <c r="D202" s="30">
        <v>68.495000000000005</v>
      </c>
      <c r="E202" s="42">
        <f t="shared" si="15"/>
        <v>72.686631000000006</v>
      </c>
      <c r="F202" s="44">
        <f t="shared" si="16"/>
        <v>-4.191631000000001</v>
      </c>
      <c r="G202" s="46">
        <f t="shared" si="17"/>
        <v>-5.7667152024145962E-2</v>
      </c>
    </row>
    <row r="203" spans="1:7" x14ac:dyDescent="0.25">
      <c r="A203" t="s">
        <v>437</v>
      </c>
      <c r="B203" t="s">
        <v>438</v>
      </c>
      <c r="C203" s="30">
        <v>75.168000000000006</v>
      </c>
      <c r="D203" s="30">
        <v>65.625</v>
      </c>
      <c r="E203" s="42">
        <f t="shared" si="15"/>
        <v>69.919536000000008</v>
      </c>
      <c r="F203" s="44">
        <f t="shared" ref="F203:F207" si="18">D203-E203</f>
        <v>-4.2945360000000079</v>
      </c>
      <c r="G203" s="46">
        <f t="shared" ref="G203:G207" si="19">F203/E203</f>
        <v>-6.1421116982240946E-2</v>
      </c>
    </row>
    <row r="204" spans="1:7" x14ac:dyDescent="0.25">
      <c r="A204" t="s">
        <v>397</v>
      </c>
      <c r="B204" t="s">
        <v>398</v>
      </c>
      <c r="C204" s="30">
        <v>77.819999999999993</v>
      </c>
      <c r="D204" s="30">
        <v>67.75</v>
      </c>
      <c r="E204" s="42">
        <f t="shared" si="15"/>
        <v>72.377939999999995</v>
      </c>
      <c r="F204" s="44">
        <f t="shared" si="18"/>
        <v>-4.6279399999999953</v>
      </c>
      <c r="G204" s="46">
        <f t="shared" si="19"/>
        <v>-6.3941305873032525E-2</v>
      </c>
    </row>
    <row r="205" spans="1:7" x14ac:dyDescent="0.25">
      <c r="A205" t="s">
        <v>147</v>
      </c>
      <c r="B205" t="s">
        <v>148</v>
      </c>
      <c r="C205" s="30">
        <v>79.400000000000006</v>
      </c>
      <c r="D205" s="30">
        <v>69.2</v>
      </c>
      <c r="E205" s="42">
        <f t="shared" si="15"/>
        <v>73.842600000000004</v>
      </c>
      <c r="F205" s="44">
        <f t="shared" si="18"/>
        <v>-4.6426000000000016</v>
      </c>
      <c r="G205" s="46">
        <f t="shared" si="19"/>
        <v>-6.2871567360845926E-2</v>
      </c>
    </row>
    <row r="206" spans="1:7" x14ac:dyDescent="0.25">
      <c r="A206" t="s">
        <v>465</v>
      </c>
      <c r="B206" t="s">
        <v>466</v>
      </c>
      <c r="C206" s="30">
        <v>76.72</v>
      </c>
      <c r="D206" s="30">
        <v>66.69</v>
      </c>
      <c r="E206" s="42">
        <f t="shared" si="15"/>
        <v>71.358239999999995</v>
      </c>
      <c r="F206" s="44">
        <f t="shared" si="18"/>
        <v>-4.6682399999999973</v>
      </c>
      <c r="G206" s="46">
        <f t="shared" si="19"/>
        <v>-6.5419774927184274E-2</v>
      </c>
    </row>
    <row r="207" spans="1:7" x14ac:dyDescent="0.25">
      <c r="A207" t="s">
        <v>413</v>
      </c>
      <c r="B207" t="s">
        <v>414</v>
      </c>
      <c r="C207" s="30">
        <v>77.488</v>
      </c>
      <c r="D207" s="30">
        <v>67.352000000000004</v>
      </c>
      <c r="E207" s="42">
        <f t="shared" si="15"/>
        <v>72.070176000000004</v>
      </c>
      <c r="F207" s="44">
        <f t="shared" si="18"/>
        <v>-4.7181759999999997</v>
      </c>
      <c r="G207" s="46">
        <f t="shared" si="19"/>
        <v>-6.5466414290427141E-2</v>
      </c>
    </row>
  </sheetData>
  <sortState xmlns:xlrd2="http://schemas.microsoft.com/office/spreadsheetml/2017/richdata2" ref="A11:G207">
    <sortCondition descending="1" ref="F11:F207"/>
  </sortState>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DAF18-F056-4353-A260-F1357475722E}">
  <dimension ref="A1:F198"/>
  <sheetViews>
    <sheetView workbookViewId="0">
      <selection activeCell="Q6" sqref="Q6"/>
    </sheetView>
  </sheetViews>
  <sheetFormatPr baseColWidth="10" defaultRowHeight="12.6" x14ac:dyDescent="0.25"/>
  <sheetData>
    <row r="1" spans="1:6" x14ac:dyDescent="0.25">
      <c r="A1" s="41" t="s">
        <v>99</v>
      </c>
      <c r="B1" s="41" t="s">
        <v>106</v>
      </c>
      <c r="C1" s="41" t="s">
        <v>39</v>
      </c>
      <c r="D1" s="41" t="s">
        <v>491</v>
      </c>
      <c r="E1" s="41" t="s">
        <v>41</v>
      </c>
      <c r="F1" s="41" t="s">
        <v>43</v>
      </c>
    </row>
    <row r="2" spans="1:6" x14ac:dyDescent="0.25">
      <c r="A2" t="s">
        <v>107</v>
      </c>
      <c r="B2" t="s">
        <v>108</v>
      </c>
      <c r="C2">
        <v>66.457999999999998</v>
      </c>
      <c r="D2">
        <v>59.923000000000002</v>
      </c>
      <c r="E2" s="49">
        <v>-1.9223659999999967</v>
      </c>
      <c r="F2" s="50">
        <v>-3.1083428304070456E-2</v>
      </c>
    </row>
    <row r="3" spans="1:6" x14ac:dyDescent="0.25">
      <c r="A3" t="s">
        <v>111</v>
      </c>
      <c r="B3" t="s">
        <v>112</v>
      </c>
      <c r="C3">
        <v>81.608000000000004</v>
      </c>
      <c r="D3">
        <v>77.037000000000006</v>
      </c>
      <c r="E3" s="49">
        <v>1.1475839999999948</v>
      </c>
      <c r="F3" s="50">
        <v>1.5121792477622896E-2</v>
      </c>
    </row>
    <row r="4" spans="1:6" x14ac:dyDescent="0.25">
      <c r="A4" t="s">
        <v>205</v>
      </c>
      <c r="B4" t="s">
        <v>206</v>
      </c>
      <c r="C4">
        <v>77.204999999999998</v>
      </c>
      <c r="D4">
        <v>74.965999999999994</v>
      </c>
      <c r="E4" s="49">
        <v>3.1581649999999968</v>
      </c>
      <c r="F4" s="50">
        <v>4.3980785662177349E-2</v>
      </c>
    </row>
    <row r="5" spans="1:6" x14ac:dyDescent="0.25">
      <c r="A5" t="s">
        <v>109</v>
      </c>
      <c r="B5" t="s">
        <v>110</v>
      </c>
      <c r="C5">
        <v>64.716999999999999</v>
      </c>
      <c r="D5">
        <v>59.582000000000001</v>
      </c>
      <c r="E5" s="49">
        <v>-0.64945900000000023</v>
      </c>
      <c r="F5" s="50">
        <v>-1.0782720704142336E-2</v>
      </c>
    </row>
    <row r="6" spans="1:6" x14ac:dyDescent="0.25">
      <c r="A6" t="s">
        <v>121</v>
      </c>
      <c r="B6" t="s">
        <v>122</v>
      </c>
      <c r="C6">
        <v>81</v>
      </c>
      <c r="D6">
        <v>75.724000000000004</v>
      </c>
      <c r="E6" s="49">
        <v>0.39820000000000277</v>
      </c>
      <c r="F6" s="50">
        <v>5.2863693448991283E-3</v>
      </c>
    </row>
    <row r="7" spans="1:6" x14ac:dyDescent="0.25">
      <c r="A7" t="s">
        <v>117</v>
      </c>
      <c r="B7" t="s">
        <v>118</v>
      </c>
      <c r="C7">
        <v>80.328999999999994</v>
      </c>
      <c r="D7">
        <v>73.631</v>
      </c>
      <c r="E7" s="49">
        <v>-1.0727830000000012</v>
      </c>
      <c r="F7" s="50">
        <v>-1.4360490953985571E-2</v>
      </c>
    </row>
    <row r="8" spans="1:6" x14ac:dyDescent="0.25">
      <c r="A8" t="s">
        <v>119</v>
      </c>
      <c r="B8" t="s">
        <v>120</v>
      </c>
      <c r="C8">
        <v>79.600999999999999</v>
      </c>
      <c r="D8">
        <v>69.992000000000004</v>
      </c>
      <c r="E8" s="49">
        <v>-4.0369269999999915</v>
      </c>
      <c r="F8" s="50">
        <v>-5.4531750811409055E-2</v>
      </c>
    </row>
    <row r="9" spans="1:6" x14ac:dyDescent="0.25">
      <c r="A9" t="s">
        <v>123</v>
      </c>
      <c r="B9" t="s">
        <v>124</v>
      </c>
      <c r="C9">
        <v>84.9</v>
      </c>
      <c r="D9">
        <v>80.7</v>
      </c>
      <c r="E9" s="49">
        <v>1.758899999999997</v>
      </c>
      <c r="F9" s="50">
        <v>2.228116912482847E-2</v>
      </c>
    </row>
    <row r="10" spans="1:6" x14ac:dyDescent="0.25">
      <c r="A10" t="s">
        <v>125</v>
      </c>
      <c r="B10" t="s">
        <v>126</v>
      </c>
      <c r="C10">
        <v>84.1</v>
      </c>
      <c r="D10">
        <v>79.400000000000006</v>
      </c>
      <c r="E10" s="49">
        <v>1.2005000000000052</v>
      </c>
      <c r="F10" s="50">
        <v>1.5351760561128974E-2</v>
      </c>
    </row>
    <row r="11" spans="1:6" x14ac:dyDescent="0.25">
      <c r="A11" t="s">
        <v>127</v>
      </c>
      <c r="B11" t="s">
        <v>128</v>
      </c>
      <c r="C11">
        <v>75.707999999999998</v>
      </c>
      <c r="D11">
        <v>69.692999999999998</v>
      </c>
      <c r="E11" s="49">
        <v>-0.72711599999999521</v>
      </c>
      <c r="F11" s="50">
        <v>-1.0325401906466546E-2</v>
      </c>
    </row>
    <row r="12" spans="1:6" x14ac:dyDescent="0.25">
      <c r="A12" t="s">
        <v>143</v>
      </c>
      <c r="B12" t="s">
        <v>494</v>
      </c>
      <c r="C12">
        <v>77.319999999999993</v>
      </c>
      <c r="D12">
        <v>70.224999999999994</v>
      </c>
      <c r="E12" s="49">
        <v>-1.6894400000000047</v>
      </c>
      <c r="F12" s="50">
        <v>-2.349236120033758E-2</v>
      </c>
    </row>
    <row r="13" spans="1:6" x14ac:dyDescent="0.25">
      <c r="A13" t="s">
        <v>141</v>
      </c>
      <c r="B13" t="s">
        <v>142</v>
      </c>
      <c r="C13">
        <v>81.194999999999993</v>
      </c>
      <c r="D13">
        <v>78.816000000000003</v>
      </c>
      <c r="E13" s="49">
        <v>3.3094350000000077</v>
      </c>
      <c r="F13" s="50">
        <v>4.3829765001228808E-2</v>
      </c>
    </row>
    <row r="14" spans="1:6" x14ac:dyDescent="0.25">
      <c r="A14" t="s">
        <v>137</v>
      </c>
      <c r="B14" t="s">
        <v>138</v>
      </c>
      <c r="C14">
        <v>74.346000000000004</v>
      </c>
      <c r="D14">
        <v>70.888999999999996</v>
      </c>
      <c r="E14" s="49">
        <v>1.7314579999999893</v>
      </c>
      <c r="F14" s="50">
        <v>2.5036430589161038E-2</v>
      </c>
    </row>
    <row r="15" spans="1:6" x14ac:dyDescent="0.25">
      <c r="A15" t="s">
        <v>155</v>
      </c>
      <c r="B15" t="s">
        <v>156</v>
      </c>
      <c r="C15">
        <v>78.957999999999998</v>
      </c>
      <c r="D15">
        <v>75.013000000000005</v>
      </c>
      <c r="E15" s="49">
        <v>1.580134000000001</v>
      </c>
      <c r="F15" s="50">
        <v>2.1518076115945153E-2</v>
      </c>
    </row>
    <row r="16" spans="1:6" x14ac:dyDescent="0.25">
      <c r="A16" t="s">
        <v>147</v>
      </c>
      <c r="B16" t="s">
        <v>148</v>
      </c>
      <c r="C16">
        <v>79.400000000000006</v>
      </c>
      <c r="D16">
        <v>69.2</v>
      </c>
      <c r="E16" s="49">
        <v>-4.6426000000000016</v>
      </c>
      <c r="F16" s="50">
        <v>-6.2871567360845926E-2</v>
      </c>
    </row>
    <row r="17" spans="1:6" x14ac:dyDescent="0.25">
      <c r="A17" t="s">
        <v>131</v>
      </c>
      <c r="B17" t="s">
        <v>132</v>
      </c>
      <c r="C17">
        <v>83.9</v>
      </c>
      <c r="D17">
        <v>79.400000000000006</v>
      </c>
      <c r="E17" s="49">
        <v>1.3858999999999924</v>
      </c>
      <c r="F17" s="50">
        <v>1.7764737400033995E-2</v>
      </c>
    </row>
    <row r="18" spans="1:6" x14ac:dyDescent="0.25">
      <c r="A18" t="s">
        <v>149</v>
      </c>
      <c r="B18" t="s">
        <v>150</v>
      </c>
      <c r="C18">
        <v>77.021000000000001</v>
      </c>
      <c r="D18">
        <v>70.84</v>
      </c>
      <c r="E18" s="49">
        <v>-0.79726700000000505</v>
      </c>
      <c r="F18" s="50">
        <v>-1.1129221331126506E-2</v>
      </c>
    </row>
    <row r="19" spans="1:6" x14ac:dyDescent="0.25">
      <c r="A19" t="s">
        <v>133</v>
      </c>
      <c r="B19" t="s">
        <v>134</v>
      </c>
      <c r="C19">
        <v>61.353999999999999</v>
      </c>
      <c r="D19">
        <v>58.915999999999997</v>
      </c>
      <c r="E19" s="49">
        <v>1.8020420000000001</v>
      </c>
      <c r="F19" s="50">
        <v>3.1551691794849873E-2</v>
      </c>
    </row>
    <row r="20" spans="1:6" x14ac:dyDescent="0.25">
      <c r="A20" t="s">
        <v>159</v>
      </c>
      <c r="B20" t="s">
        <v>160</v>
      </c>
      <c r="C20">
        <v>72.914000000000001</v>
      </c>
      <c r="D20">
        <v>69.602000000000004</v>
      </c>
      <c r="E20" s="49">
        <v>1.7719220000000035</v>
      </c>
      <c r="F20" s="50">
        <v>2.6122953890750405E-2</v>
      </c>
    </row>
    <row r="21" spans="1:6" x14ac:dyDescent="0.25">
      <c r="A21" t="s">
        <v>151</v>
      </c>
      <c r="B21" t="s">
        <v>495</v>
      </c>
      <c r="C21">
        <v>70.382999999999996</v>
      </c>
      <c r="D21">
        <v>65.278999999999996</v>
      </c>
      <c r="E21" s="49">
        <v>-0.20484100000000183</v>
      </c>
      <c r="F21" s="50">
        <v>-3.1281152246399511E-3</v>
      </c>
    </row>
    <row r="22" spans="1:6" x14ac:dyDescent="0.25">
      <c r="A22" t="s">
        <v>145</v>
      </c>
      <c r="B22" t="s">
        <v>146</v>
      </c>
      <c r="C22">
        <v>79.093000000000004</v>
      </c>
      <c r="D22">
        <v>75.034000000000006</v>
      </c>
      <c r="E22" s="49">
        <v>1.4759889999999984</v>
      </c>
      <c r="F22" s="50">
        <v>2.006564587506313E-2</v>
      </c>
    </row>
    <row r="23" spans="1:6" x14ac:dyDescent="0.25">
      <c r="A23" t="s">
        <v>161</v>
      </c>
      <c r="B23" t="s">
        <v>162</v>
      </c>
      <c r="C23">
        <v>67.370999999999995</v>
      </c>
      <c r="D23">
        <v>63.335999999999999</v>
      </c>
      <c r="E23" s="49">
        <v>0.64428300000000149</v>
      </c>
      <c r="F23" s="50">
        <v>1.0277003579276694E-2</v>
      </c>
    </row>
    <row r="24" spans="1:6" x14ac:dyDescent="0.25">
      <c r="A24" t="s">
        <v>153</v>
      </c>
      <c r="B24" t="s">
        <v>154</v>
      </c>
      <c r="C24">
        <v>78.266000000000005</v>
      </c>
      <c r="D24">
        <v>71.956000000000003</v>
      </c>
      <c r="E24" s="49">
        <v>-0.83538200000000984</v>
      </c>
      <c r="F24" s="50">
        <v>-1.1476386037017536E-2</v>
      </c>
    </row>
    <row r="25" spans="1:6" x14ac:dyDescent="0.25">
      <c r="A25" t="s">
        <v>157</v>
      </c>
      <c r="B25" t="s">
        <v>158</v>
      </c>
      <c r="C25">
        <v>76.956000000000003</v>
      </c>
      <c r="D25">
        <v>72.668000000000006</v>
      </c>
      <c r="E25" s="49">
        <v>1.0909879999999958</v>
      </c>
      <c r="F25" s="50">
        <v>1.5242156238653768E-2</v>
      </c>
    </row>
    <row r="26" spans="1:6" x14ac:dyDescent="0.25">
      <c r="A26" t="s">
        <v>139</v>
      </c>
      <c r="B26" t="s">
        <v>140</v>
      </c>
      <c r="C26">
        <v>78.599999999999994</v>
      </c>
      <c r="D26">
        <v>71.5</v>
      </c>
      <c r="E26" s="49">
        <v>-1.6009999999999991</v>
      </c>
      <c r="F26" s="50">
        <v>-2.1901205181871646E-2</v>
      </c>
    </row>
    <row r="27" spans="1:6" x14ac:dyDescent="0.25">
      <c r="A27" t="s">
        <v>135</v>
      </c>
      <c r="B27" t="s">
        <v>136</v>
      </c>
      <c r="C27">
        <v>61.706000000000003</v>
      </c>
      <c r="D27">
        <v>58.29</v>
      </c>
      <c r="E27" s="49">
        <v>0.849737999999995</v>
      </c>
      <c r="F27" s="50">
        <v>1.4793421380981775E-2</v>
      </c>
    </row>
    <row r="28" spans="1:6" x14ac:dyDescent="0.25">
      <c r="A28" t="s">
        <v>129</v>
      </c>
      <c r="B28" t="s">
        <v>130</v>
      </c>
      <c r="C28">
        <v>63.524000000000001</v>
      </c>
      <c r="D28">
        <v>59.820999999999998</v>
      </c>
      <c r="E28" s="49">
        <v>0.69545199999999596</v>
      </c>
      <c r="F28" s="50">
        <v>1.1762292672534654E-2</v>
      </c>
    </row>
    <row r="29" spans="1:6" x14ac:dyDescent="0.25">
      <c r="A29" t="s">
        <v>185</v>
      </c>
      <c r="B29" t="s">
        <v>186</v>
      </c>
      <c r="C29">
        <v>79.875</v>
      </c>
      <c r="D29">
        <v>71.343999999999994</v>
      </c>
      <c r="E29" s="49">
        <v>-2.9389250000000118</v>
      </c>
      <c r="F29" s="50">
        <v>-3.9563937472844687E-2</v>
      </c>
    </row>
    <row r="30" spans="1:6" x14ac:dyDescent="0.25">
      <c r="A30" t="s">
        <v>285</v>
      </c>
      <c r="B30" t="s">
        <v>286</v>
      </c>
      <c r="C30">
        <v>72.778000000000006</v>
      </c>
      <c r="D30">
        <v>68.225999999999999</v>
      </c>
      <c r="E30" s="49">
        <v>0.5219939999999923</v>
      </c>
      <c r="F30" s="50">
        <v>7.7099425992605553E-3</v>
      </c>
    </row>
    <row r="31" spans="1:6" x14ac:dyDescent="0.25">
      <c r="A31" t="s">
        <v>175</v>
      </c>
      <c r="B31" t="s">
        <v>176</v>
      </c>
      <c r="C31">
        <v>62.783000000000001</v>
      </c>
      <c r="D31">
        <v>59.601999999999997</v>
      </c>
      <c r="E31" s="49">
        <v>1.1633589999999927</v>
      </c>
      <c r="F31" s="50">
        <v>1.9907358899738832E-2</v>
      </c>
    </row>
    <row r="32" spans="1:6" x14ac:dyDescent="0.25">
      <c r="A32" t="s">
        <v>165</v>
      </c>
      <c r="B32" t="s">
        <v>166</v>
      </c>
      <c r="C32">
        <v>83.99</v>
      </c>
      <c r="D32">
        <v>79.8</v>
      </c>
      <c r="E32" s="49">
        <v>1.7024700000000053</v>
      </c>
      <c r="F32" s="50">
        <v>2.1799280975979718E-2</v>
      </c>
    </row>
    <row r="33" spans="1:6" x14ac:dyDescent="0.25">
      <c r="A33" t="s">
        <v>163</v>
      </c>
      <c r="B33" t="s">
        <v>164</v>
      </c>
      <c r="C33">
        <v>56.587000000000003</v>
      </c>
      <c r="D33">
        <v>52.284999999999997</v>
      </c>
      <c r="E33" s="49">
        <v>-0.40994900000000456</v>
      </c>
      <c r="F33" s="50">
        <v>-7.7796640433223409E-3</v>
      </c>
    </row>
    <row r="34" spans="1:6" x14ac:dyDescent="0.25">
      <c r="A34" t="s">
        <v>439</v>
      </c>
      <c r="B34" t="s">
        <v>440</v>
      </c>
      <c r="C34">
        <v>54.317</v>
      </c>
      <c r="D34">
        <v>51.372</v>
      </c>
      <c r="E34" s="49">
        <v>0.78134099999999762</v>
      </c>
      <c r="F34" s="50">
        <v>1.544437284361126E-2</v>
      </c>
    </row>
    <row r="35" spans="1:6" x14ac:dyDescent="0.25">
      <c r="A35" t="s">
        <v>169</v>
      </c>
      <c r="B35" t="s">
        <v>170</v>
      </c>
      <c r="C35">
        <v>82.527000000000001</v>
      </c>
      <c r="D35">
        <v>77.683999999999997</v>
      </c>
      <c r="E35" s="49">
        <v>0.94267099999999004</v>
      </c>
      <c r="F35" s="50">
        <v>1.2283746089411482E-2</v>
      </c>
    </row>
    <row r="36" spans="1:6" x14ac:dyDescent="0.25">
      <c r="A36" t="s">
        <v>171</v>
      </c>
      <c r="B36" t="s">
        <v>172</v>
      </c>
      <c r="C36">
        <v>80.637</v>
      </c>
      <c r="D36">
        <v>75.046000000000006</v>
      </c>
      <c r="E36" s="49">
        <v>5.6701000000003887E-2</v>
      </c>
      <c r="F36" s="50">
        <v>7.5612121670858511E-4</v>
      </c>
    </row>
    <row r="37" spans="1:6" x14ac:dyDescent="0.25">
      <c r="A37" t="s">
        <v>181</v>
      </c>
      <c r="B37" t="s">
        <v>182</v>
      </c>
      <c r="C37">
        <v>79.66</v>
      </c>
      <c r="D37">
        <v>73.841999999999999</v>
      </c>
      <c r="E37" s="49">
        <v>-0.2416199999999975</v>
      </c>
      <c r="F37" s="50">
        <v>-3.261449696977517E-3</v>
      </c>
    </row>
    <row r="38" spans="1:6" x14ac:dyDescent="0.25">
      <c r="A38" t="s">
        <v>183</v>
      </c>
      <c r="B38" t="s">
        <v>184</v>
      </c>
      <c r="C38">
        <v>66.194999999999993</v>
      </c>
      <c r="D38">
        <v>61.808</v>
      </c>
      <c r="E38" s="49">
        <v>0.20643500000000614</v>
      </c>
      <c r="F38" s="50">
        <v>3.3511323941202817E-3</v>
      </c>
    </row>
    <row r="39" spans="1:6" x14ac:dyDescent="0.25">
      <c r="A39" t="s">
        <v>177</v>
      </c>
      <c r="B39" t="s">
        <v>497</v>
      </c>
      <c r="C39">
        <v>61.767000000000003</v>
      </c>
      <c r="D39">
        <v>58.133000000000003</v>
      </c>
      <c r="E39" s="49">
        <v>0.63619099999999662</v>
      </c>
      <c r="F39" s="50">
        <v>1.1064805352937005E-2</v>
      </c>
    </row>
    <row r="40" spans="1:6" x14ac:dyDescent="0.25">
      <c r="A40" t="s">
        <v>179</v>
      </c>
      <c r="B40" t="s">
        <v>498</v>
      </c>
      <c r="C40">
        <v>65.266999999999996</v>
      </c>
      <c r="D40">
        <v>62.834000000000003</v>
      </c>
      <c r="E40" s="49">
        <v>2.0926910000000092</v>
      </c>
      <c r="F40" s="50">
        <v>3.445251731404092E-2</v>
      </c>
    </row>
    <row r="41" spans="1:6" x14ac:dyDescent="0.25">
      <c r="A41" t="s">
        <v>187</v>
      </c>
      <c r="B41" t="s">
        <v>188</v>
      </c>
      <c r="C41">
        <v>82.082999999999998</v>
      </c>
      <c r="D41">
        <v>76.995999999999995</v>
      </c>
      <c r="E41" s="49">
        <v>0.6662589999999966</v>
      </c>
      <c r="F41" s="50">
        <v>8.7286946250740797E-3</v>
      </c>
    </row>
    <row r="42" spans="1:6" x14ac:dyDescent="0.25">
      <c r="A42" t="s">
        <v>173</v>
      </c>
      <c r="B42" t="s">
        <v>496</v>
      </c>
      <c r="C42">
        <v>59.94</v>
      </c>
      <c r="D42">
        <v>57.845999999999997</v>
      </c>
      <c r="E42" s="49">
        <v>2.042819999999999</v>
      </c>
      <c r="F42" s="50">
        <v>3.6607591180287558E-2</v>
      </c>
    </row>
    <row r="43" spans="1:6" x14ac:dyDescent="0.25">
      <c r="A43" t="s">
        <v>251</v>
      </c>
      <c r="B43" t="s">
        <v>252</v>
      </c>
      <c r="C43">
        <v>81.400000000000006</v>
      </c>
      <c r="D43">
        <v>74.900000000000006</v>
      </c>
      <c r="E43" s="49">
        <v>-0.79659999999999798</v>
      </c>
      <c r="F43" s="50">
        <v>-1.0523590227302124E-2</v>
      </c>
    </row>
    <row r="44" spans="1:6" x14ac:dyDescent="0.25">
      <c r="A44" t="s">
        <v>189</v>
      </c>
      <c r="B44" t="s">
        <v>190</v>
      </c>
      <c r="C44">
        <v>80.051000000000002</v>
      </c>
      <c r="D44">
        <v>75.066999999999993</v>
      </c>
      <c r="E44" s="49">
        <v>0.62092299999999057</v>
      </c>
      <c r="F44" s="50">
        <v>8.3405738088790163E-3</v>
      </c>
    </row>
    <row r="45" spans="1:6" x14ac:dyDescent="0.25">
      <c r="A45" t="s">
        <v>191</v>
      </c>
      <c r="B45" t="s">
        <v>192</v>
      </c>
      <c r="C45">
        <v>83.058000000000007</v>
      </c>
      <c r="D45">
        <v>79.67</v>
      </c>
      <c r="E45" s="49">
        <v>2.4364339999999913</v>
      </c>
      <c r="F45" s="50">
        <v>3.1546309800067902E-2</v>
      </c>
    </row>
    <row r="46" spans="1:6" x14ac:dyDescent="0.25">
      <c r="A46" t="s">
        <v>193</v>
      </c>
      <c r="B46" t="s">
        <v>194</v>
      </c>
      <c r="C46">
        <v>82</v>
      </c>
      <c r="D46">
        <v>76.2</v>
      </c>
      <c r="E46" s="49">
        <v>-5.2800000000004843E-2</v>
      </c>
      <c r="F46" s="50">
        <v>-6.9243358932399651E-4</v>
      </c>
    </row>
    <row r="47" spans="1:6" x14ac:dyDescent="0.25">
      <c r="A47" t="s">
        <v>201</v>
      </c>
      <c r="B47" t="s">
        <v>202</v>
      </c>
      <c r="C47">
        <v>82.9</v>
      </c>
      <c r="D47">
        <v>79.099999999999994</v>
      </c>
      <c r="E47" s="49">
        <v>2.0128999999999877</v>
      </c>
      <c r="F47" s="50">
        <v>2.6112021336903161E-2</v>
      </c>
    </row>
    <row r="48" spans="1:6" x14ac:dyDescent="0.25">
      <c r="A48" t="s">
        <v>197</v>
      </c>
      <c r="B48" t="s">
        <v>198</v>
      </c>
      <c r="C48">
        <v>65.582999999999998</v>
      </c>
      <c r="D48">
        <v>60.59</v>
      </c>
      <c r="E48" s="49">
        <v>-0.44424099999999811</v>
      </c>
      <c r="F48" s="50">
        <v>-7.2785536892315591E-3</v>
      </c>
    </row>
    <row r="49" spans="1:6" x14ac:dyDescent="0.25">
      <c r="A49" t="s">
        <v>199</v>
      </c>
      <c r="B49" t="s">
        <v>200</v>
      </c>
      <c r="C49">
        <v>77.247</v>
      </c>
      <c r="D49">
        <v>70.405000000000001</v>
      </c>
      <c r="E49" s="49">
        <v>-1.4417689999999936</v>
      </c>
      <c r="F49" s="50">
        <v>-2.0067276790136434E-2</v>
      </c>
    </row>
    <row r="50" spans="1:6" x14ac:dyDescent="0.25">
      <c r="A50" t="s">
        <v>203</v>
      </c>
      <c r="B50" t="s">
        <v>204</v>
      </c>
      <c r="C50">
        <v>76.498999999999995</v>
      </c>
      <c r="D50">
        <v>70.233000000000004</v>
      </c>
      <c r="E50" s="49">
        <v>-0.92037299999999789</v>
      </c>
      <c r="F50" s="50">
        <v>-1.2935057906530979E-2</v>
      </c>
    </row>
    <row r="51" spans="1:6" x14ac:dyDescent="0.25">
      <c r="A51" t="s">
        <v>207</v>
      </c>
      <c r="B51" t="s">
        <v>208</v>
      </c>
      <c r="C51">
        <v>79.603999999999999</v>
      </c>
      <c r="D51">
        <v>74.623000000000005</v>
      </c>
      <c r="E51" s="49">
        <v>0.59129200000000992</v>
      </c>
      <c r="F51" s="50">
        <v>7.9870101065344853E-3</v>
      </c>
    </row>
    <row r="52" spans="1:6" x14ac:dyDescent="0.25">
      <c r="A52" t="s">
        <v>209</v>
      </c>
      <c r="B52" t="s">
        <v>499</v>
      </c>
      <c r="C52">
        <v>73.927000000000007</v>
      </c>
      <c r="D52">
        <v>68.875</v>
      </c>
      <c r="E52" s="49">
        <v>0.10587099999999339</v>
      </c>
      <c r="F52" s="50">
        <v>1.5395134639555109E-3</v>
      </c>
    </row>
    <row r="53" spans="1:6" x14ac:dyDescent="0.25">
      <c r="A53" t="s">
        <v>413</v>
      </c>
      <c r="B53" t="s">
        <v>414</v>
      </c>
      <c r="C53">
        <v>77.488</v>
      </c>
      <c r="D53">
        <v>67.352000000000004</v>
      </c>
      <c r="E53" s="49">
        <v>-4.7181759999999997</v>
      </c>
      <c r="F53" s="50">
        <v>-6.5466414290427141E-2</v>
      </c>
    </row>
    <row r="54" spans="1:6" x14ac:dyDescent="0.25">
      <c r="A54" t="s">
        <v>239</v>
      </c>
      <c r="B54" t="s">
        <v>240</v>
      </c>
      <c r="C54">
        <v>63.042000000000002</v>
      </c>
      <c r="D54">
        <v>59.555999999999997</v>
      </c>
      <c r="E54" s="49">
        <v>0.87726599999999877</v>
      </c>
      <c r="F54" s="50">
        <v>1.495032254785863E-2</v>
      </c>
    </row>
    <row r="55" spans="1:6" x14ac:dyDescent="0.25">
      <c r="A55" t="s">
        <v>211</v>
      </c>
      <c r="B55" t="s">
        <v>212</v>
      </c>
      <c r="C55">
        <v>69.114999999999995</v>
      </c>
      <c r="D55">
        <v>64.947000000000003</v>
      </c>
      <c r="E55" s="49">
        <v>0.63859500000000935</v>
      </c>
      <c r="F55" s="50">
        <v>9.9301949721814654E-3</v>
      </c>
    </row>
    <row r="56" spans="1:6" x14ac:dyDescent="0.25">
      <c r="A56" t="s">
        <v>215</v>
      </c>
      <c r="B56" t="s">
        <v>216</v>
      </c>
      <c r="C56">
        <v>82.7</v>
      </c>
      <c r="D56">
        <v>74</v>
      </c>
      <c r="E56" s="49">
        <v>-2.9017000000000053</v>
      </c>
      <c r="F56" s="50">
        <v>-3.7732585885617682E-2</v>
      </c>
    </row>
    <row r="57" spans="1:6" x14ac:dyDescent="0.25">
      <c r="A57" t="s">
        <v>433</v>
      </c>
      <c r="B57" t="s">
        <v>434</v>
      </c>
      <c r="C57">
        <v>63.168999999999997</v>
      </c>
      <c r="D57">
        <v>55.881999999999998</v>
      </c>
      <c r="E57" s="49">
        <v>-2.9144629999999978</v>
      </c>
      <c r="F57" s="50">
        <v>-4.9568678986693433E-2</v>
      </c>
    </row>
    <row r="58" spans="1:6" x14ac:dyDescent="0.25">
      <c r="A58" t="s">
        <v>217</v>
      </c>
      <c r="B58" t="s">
        <v>218</v>
      </c>
      <c r="C58">
        <v>68.397000000000006</v>
      </c>
      <c r="D58">
        <v>62.606000000000002</v>
      </c>
      <c r="E58" s="49">
        <v>-1.0368190000000013</v>
      </c>
      <c r="F58" s="50">
        <v>-1.6291217395634237E-2</v>
      </c>
    </row>
    <row r="59" spans="1:6" x14ac:dyDescent="0.25">
      <c r="A59" t="s">
        <v>500</v>
      </c>
      <c r="B59" t="s">
        <v>501</v>
      </c>
      <c r="C59">
        <v>84.9</v>
      </c>
      <c r="D59">
        <v>80.400000000000006</v>
      </c>
      <c r="E59" s="49">
        <v>1.4588999999999999</v>
      </c>
      <c r="F59" s="50">
        <v>1.8480867380870038E-2</v>
      </c>
    </row>
    <row r="60" spans="1:6" x14ac:dyDescent="0.25">
      <c r="A60" t="s">
        <v>221</v>
      </c>
      <c r="B60" t="s">
        <v>222</v>
      </c>
      <c r="C60">
        <v>69.664000000000001</v>
      </c>
      <c r="D60">
        <v>66.031000000000006</v>
      </c>
      <c r="E60" s="49">
        <v>1.2136720000000025</v>
      </c>
      <c r="F60" s="50">
        <v>1.8724499103079387E-2</v>
      </c>
    </row>
    <row r="61" spans="1:6" x14ac:dyDescent="0.25">
      <c r="A61" t="s">
        <v>219</v>
      </c>
      <c r="B61" t="s">
        <v>220</v>
      </c>
      <c r="C61">
        <v>84.5</v>
      </c>
      <c r="D61">
        <v>79.099999999999994</v>
      </c>
      <c r="E61" s="49">
        <v>0.52969999999999118</v>
      </c>
      <c r="F61" s="50">
        <v>6.7417331994403884E-3</v>
      </c>
    </row>
    <row r="62" spans="1:6" x14ac:dyDescent="0.25">
      <c r="A62" t="s">
        <v>223</v>
      </c>
      <c r="B62" t="s">
        <v>224</v>
      </c>
      <c r="C62">
        <v>85.8</v>
      </c>
      <c r="D62">
        <v>79.7</v>
      </c>
      <c r="E62" s="49">
        <v>-7.540000000000191E-2</v>
      </c>
      <c r="F62" s="50">
        <v>-9.451535185032216E-4</v>
      </c>
    </row>
    <row r="63" spans="1:6" x14ac:dyDescent="0.25">
      <c r="A63" t="s">
        <v>225</v>
      </c>
      <c r="B63" t="s">
        <v>226</v>
      </c>
      <c r="C63">
        <v>68.789000000000001</v>
      </c>
      <c r="D63">
        <v>64.114999999999995</v>
      </c>
      <c r="E63" s="49">
        <v>0.10879699999999559</v>
      </c>
      <c r="F63" s="50">
        <v>1.6997883783232009E-3</v>
      </c>
    </row>
    <row r="64" spans="1:6" x14ac:dyDescent="0.25">
      <c r="A64" t="s">
        <v>235</v>
      </c>
      <c r="B64" t="s">
        <v>504</v>
      </c>
      <c r="C64">
        <v>64.251000000000005</v>
      </c>
      <c r="D64">
        <v>61.826000000000001</v>
      </c>
      <c r="E64" s="49">
        <v>2.0265229999999974</v>
      </c>
      <c r="F64" s="50">
        <v>3.3888640865537958E-2</v>
      </c>
    </row>
    <row r="65" spans="1:6" x14ac:dyDescent="0.25">
      <c r="A65" t="s">
        <v>229</v>
      </c>
      <c r="B65" t="s">
        <v>230</v>
      </c>
      <c r="C65">
        <v>78.153000000000006</v>
      </c>
      <c r="D65">
        <v>68.495000000000005</v>
      </c>
      <c r="E65" s="49">
        <v>-4.191631000000001</v>
      </c>
      <c r="F65" s="50">
        <v>-5.7667152024145962E-2</v>
      </c>
    </row>
    <row r="66" spans="1:6" x14ac:dyDescent="0.25">
      <c r="A66" t="s">
        <v>195</v>
      </c>
      <c r="B66" t="s">
        <v>196</v>
      </c>
      <c r="C66">
        <v>83.3</v>
      </c>
      <c r="D66">
        <v>78.599999999999994</v>
      </c>
      <c r="E66" s="49">
        <v>1.1420999999999992</v>
      </c>
      <c r="F66" s="50">
        <v>1.4744783940695517E-2</v>
      </c>
    </row>
    <row r="67" spans="1:6" x14ac:dyDescent="0.25">
      <c r="A67" t="s">
        <v>231</v>
      </c>
      <c r="B67" t="s">
        <v>232</v>
      </c>
      <c r="C67">
        <v>66.049000000000007</v>
      </c>
      <c r="D67">
        <v>62.215000000000003</v>
      </c>
      <c r="E67" s="49">
        <v>0.74877699999999692</v>
      </c>
      <c r="F67" s="50">
        <v>1.2181926323990932E-2</v>
      </c>
    </row>
    <row r="68" spans="1:6" x14ac:dyDescent="0.25">
      <c r="A68" t="s">
        <v>241</v>
      </c>
      <c r="B68" t="s">
        <v>242</v>
      </c>
      <c r="C68">
        <v>84.4</v>
      </c>
      <c r="D68">
        <v>79.3</v>
      </c>
      <c r="E68" s="49">
        <v>0.82239999999998759</v>
      </c>
      <c r="F68" s="50">
        <v>1.0479423427831477E-2</v>
      </c>
    </row>
    <row r="69" spans="1:6" x14ac:dyDescent="0.25">
      <c r="A69" t="s">
        <v>505</v>
      </c>
      <c r="B69" t="s">
        <v>506</v>
      </c>
      <c r="C69">
        <v>74.13</v>
      </c>
      <c r="D69">
        <v>69.75</v>
      </c>
      <c r="E69" s="49">
        <v>0.79269000000000744</v>
      </c>
      <c r="F69" s="50">
        <v>1.1495373006864791E-2</v>
      </c>
    </row>
    <row r="70" spans="1:6" x14ac:dyDescent="0.25">
      <c r="A70" t="s">
        <v>243</v>
      </c>
      <c r="B70" t="s">
        <v>244</v>
      </c>
      <c r="C70">
        <v>77.796000000000006</v>
      </c>
      <c r="D70">
        <v>72.06</v>
      </c>
      <c r="E70" s="49">
        <v>-0.29569200000000251</v>
      </c>
      <c r="F70" s="50">
        <v>-4.086644627764772E-3</v>
      </c>
    </row>
    <row r="71" spans="1:6" x14ac:dyDescent="0.25">
      <c r="A71" t="s">
        <v>245</v>
      </c>
      <c r="B71" t="s">
        <v>246</v>
      </c>
      <c r="C71">
        <v>75.570999999999998</v>
      </c>
      <c r="D71">
        <v>69.896000000000001</v>
      </c>
      <c r="E71" s="49">
        <v>-0.39711699999999439</v>
      </c>
      <c r="F71" s="50">
        <v>-5.6494436005732175E-3</v>
      </c>
    </row>
    <row r="72" spans="1:6" x14ac:dyDescent="0.25">
      <c r="A72" t="s">
        <v>233</v>
      </c>
      <c r="B72" t="s">
        <v>234</v>
      </c>
      <c r="C72">
        <v>60.298000000000002</v>
      </c>
      <c r="D72">
        <v>58.326000000000001</v>
      </c>
      <c r="E72" s="49">
        <v>2.1909539999999978</v>
      </c>
      <c r="F72" s="50">
        <v>3.9030056196978941E-2</v>
      </c>
    </row>
    <row r="73" spans="1:6" x14ac:dyDescent="0.25">
      <c r="A73" t="s">
        <v>237</v>
      </c>
      <c r="B73" t="s">
        <v>238</v>
      </c>
      <c r="C73">
        <v>62.613999999999997</v>
      </c>
      <c r="D73">
        <v>58.262999999999998</v>
      </c>
      <c r="E73" s="49">
        <v>-1.8977999999997053E-2</v>
      </c>
      <c r="F73" s="50">
        <v>-3.2562381462065433E-4</v>
      </c>
    </row>
    <row r="74" spans="1:6" x14ac:dyDescent="0.25">
      <c r="A74" t="s">
        <v>247</v>
      </c>
      <c r="B74" t="s">
        <v>248</v>
      </c>
      <c r="C74">
        <v>72.438999999999993</v>
      </c>
      <c r="D74">
        <v>65.503</v>
      </c>
      <c r="E74" s="49">
        <v>-1.8867529999999988</v>
      </c>
      <c r="F74" s="50">
        <v>-2.7997624505316093E-2</v>
      </c>
    </row>
    <row r="75" spans="1:6" x14ac:dyDescent="0.25">
      <c r="A75" t="s">
        <v>253</v>
      </c>
      <c r="B75" t="s">
        <v>254</v>
      </c>
      <c r="C75">
        <v>66.918999999999997</v>
      </c>
      <c r="D75">
        <v>61.231000000000002</v>
      </c>
      <c r="E75" s="49">
        <v>-1.0417129999999943</v>
      </c>
      <c r="F75" s="50">
        <v>-1.6728241790268467E-2</v>
      </c>
    </row>
    <row r="76" spans="1:6" x14ac:dyDescent="0.25">
      <c r="A76" t="s">
        <v>249</v>
      </c>
      <c r="B76" t="s">
        <v>250</v>
      </c>
      <c r="C76">
        <v>75.317999999999998</v>
      </c>
      <c r="D76">
        <v>70.460999999999999</v>
      </c>
      <c r="E76" s="49">
        <v>0.40241399999999317</v>
      </c>
      <c r="F76" s="50">
        <v>5.7439640588805652E-3</v>
      </c>
    </row>
    <row r="77" spans="1:6" x14ac:dyDescent="0.25">
      <c r="A77" t="s">
        <v>507</v>
      </c>
      <c r="B77" t="s">
        <v>508</v>
      </c>
      <c r="C77">
        <v>87.7</v>
      </c>
      <c r="D77">
        <v>82.3</v>
      </c>
      <c r="E77" s="49">
        <v>0.76329999999998677</v>
      </c>
      <c r="F77" s="50">
        <v>9.3614286572793193E-3</v>
      </c>
    </row>
    <row r="78" spans="1:6" x14ac:dyDescent="0.25">
      <c r="A78" t="s">
        <v>255</v>
      </c>
      <c r="B78" t="s">
        <v>256</v>
      </c>
      <c r="C78">
        <v>79.599999999999994</v>
      </c>
      <c r="D78">
        <v>72.7</v>
      </c>
      <c r="E78" s="49">
        <v>-1.3279999999999887</v>
      </c>
      <c r="F78" s="50">
        <v>-1.7939158156373113E-2</v>
      </c>
    </row>
    <row r="79" spans="1:6" x14ac:dyDescent="0.25">
      <c r="A79" t="s">
        <v>267</v>
      </c>
      <c r="B79" t="s">
        <v>268</v>
      </c>
      <c r="C79">
        <v>84.5</v>
      </c>
      <c r="D79">
        <v>81.3</v>
      </c>
      <c r="E79" s="49">
        <v>2.729699999999994</v>
      </c>
      <c r="F79" s="50">
        <v>3.474213538703548E-2</v>
      </c>
    </row>
    <row r="80" spans="1:6" x14ac:dyDescent="0.25">
      <c r="A80" t="s">
        <v>259</v>
      </c>
      <c r="B80" t="s">
        <v>260</v>
      </c>
      <c r="C80">
        <v>72.141999999999996</v>
      </c>
      <c r="D80">
        <v>69.367000000000004</v>
      </c>
      <c r="E80" s="49">
        <v>2.2525660000000016</v>
      </c>
      <c r="F80" s="50">
        <v>3.3563063349383256E-2</v>
      </c>
    </row>
    <row r="81" spans="1:6" x14ac:dyDescent="0.25">
      <c r="A81" t="s">
        <v>257</v>
      </c>
      <c r="B81" t="s">
        <v>258</v>
      </c>
      <c r="C81">
        <v>72.403000000000006</v>
      </c>
      <c r="D81">
        <v>68.311000000000007</v>
      </c>
      <c r="E81" s="49">
        <v>0.95461899999999389</v>
      </c>
      <c r="F81" s="50">
        <v>1.4172658712171512E-2</v>
      </c>
    </row>
    <row r="82" spans="1:6" x14ac:dyDescent="0.25">
      <c r="A82" t="s">
        <v>263</v>
      </c>
      <c r="B82" t="s">
        <v>511</v>
      </c>
      <c r="C82">
        <v>79.090999999999994</v>
      </c>
      <c r="D82">
        <v>73.519000000000005</v>
      </c>
      <c r="E82" s="49">
        <v>-3.7156999999993445E-2</v>
      </c>
      <c r="F82" s="50">
        <v>-5.0515145863307468E-4</v>
      </c>
    </row>
    <row r="83" spans="1:6" x14ac:dyDescent="0.25">
      <c r="A83" t="s">
        <v>265</v>
      </c>
      <c r="B83" t="s">
        <v>266</v>
      </c>
      <c r="C83">
        <v>73.293000000000006</v>
      </c>
      <c r="D83">
        <v>69.558999999999997</v>
      </c>
      <c r="E83" s="49">
        <v>1.3775889999999862</v>
      </c>
      <c r="F83" s="50">
        <v>2.0204759329489175E-2</v>
      </c>
    </row>
    <row r="84" spans="1:6" x14ac:dyDescent="0.25">
      <c r="A84" t="s">
        <v>261</v>
      </c>
      <c r="B84" t="s">
        <v>262</v>
      </c>
      <c r="C84">
        <v>84.1</v>
      </c>
      <c r="D84">
        <v>80.400000000000006</v>
      </c>
      <c r="E84" s="49">
        <v>2.2005000000000052</v>
      </c>
      <c r="F84" s="50">
        <v>2.8139566109757801E-2</v>
      </c>
    </row>
    <row r="85" spans="1:6" x14ac:dyDescent="0.25">
      <c r="A85" t="s">
        <v>509</v>
      </c>
      <c r="B85" t="s">
        <v>510</v>
      </c>
      <c r="C85">
        <v>82.488</v>
      </c>
      <c r="D85">
        <v>78.709000000000003</v>
      </c>
      <c r="E85" s="49">
        <v>2.0038240000000087</v>
      </c>
      <c r="F85" s="50">
        <v>2.6123712955172788E-2</v>
      </c>
    </row>
    <row r="86" spans="1:6" x14ac:dyDescent="0.25">
      <c r="A86" t="s">
        <v>269</v>
      </c>
      <c r="B86" t="s">
        <v>270</v>
      </c>
      <c r="C86">
        <v>84.8</v>
      </c>
      <c r="D86">
        <v>80.900000000000006</v>
      </c>
      <c r="E86" s="49">
        <v>2.0516000000000076</v>
      </c>
      <c r="F86" s="50">
        <v>2.6019551443022405E-2</v>
      </c>
    </row>
    <row r="87" spans="1:6" x14ac:dyDescent="0.25">
      <c r="A87" t="s">
        <v>271</v>
      </c>
      <c r="B87" t="s">
        <v>272</v>
      </c>
      <c r="C87">
        <v>85.6</v>
      </c>
      <c r="D87">
        <v>81.2</v>
      </c>
      <c r="E87" s="49">
        <v>1.6099999999999994</v>
      </c>
      <c r="F87" s="50">
        <v>2.0228671943711512E-2</v>
      </c>
    </row>
    <row r="88" spans="1:6" x14ac:dyDescent="0.25">
      <c r="A88" t="s">
        <v>273</v>
      </c>
      <c r="B88" t="s">
        <v>274</v>
      </c>
      <c r="C88">
        <v>73.903000000000006</v>
      </c>
      <c r="D88">
        <v>69.694999999999993</v>
      </c>
      <c r="E88" s="49">
        <v>0.94811899999999127</v>
      </c>
      <c r="F88" s="50">
        <v>1.3791447498541661E-2</v>
      </c>
    </row>
    <row r="89" spans="1:6" x14ac:dyDescent="0.25">
      <c r="A89" t="s">
        <v>277</v>
      </c>
      <c r="B89" t="s">
        <v>278</v>
      </c>
      <c r="C89">
        <v>87.32</v>
      </c>
      <c r="D89">
        <v>81.25</v>
      </c>
      <c r="E89" s="49">
        <v>6.5560000000004948E-2</v>
      </c>
      <c r="F89" s="50">
        <v>8.075439086603905E-4</v>
      </c>
    </row>
    <row r="90" spans="1:6" x14ac:dyDescent="0.25">
      <c r="A90" t="s">
        <v>275</v>
      </c>
      <c r="B90" t="s">
        <v>276</v>
      </c>
      <c r="C90">
        <v>78.171999999999997</v>
      </c>
      <c r="D90">
        <v>73.677000000000007</v>
      </c>
      <c r="E90" s="49">
        <v>0.97275600000000395</v>
      </c>
      <c r="F90" s="50">
        <v>1.337963159344596E-2</v>
      </c>
    </row>
    <row r="91" spans="1:6" x14ac:dyDescent="0.25">
      <c r="A91" t="s">
        <v>279</v>
      </c>
      <c r="B91" t="s">
        <v>280</v>
      </c>
      <c r="C91">
        <v>77.19</v>
      </c>
      <c r="D91">
        <v>68.84</v>
      </c>
      <c r="E91" s="49">
        <v>-2.9539299999999997</v>
      </c>
      <c r="F91" s="50">
        <v>-4.1144564728522307E-2</v>
      </c>
    </row>
    <row r="92" spans="1:6" x14ac:dyDescent="0.25">
      <c r="A92" t="s">
        <v>281</v>
      </c>
      <c r="B92" t="s">
        <v>282</v>
      </c>
      <c r="C92">
        <v>65.158000000000001</v>
      </c>
      <c r="D92">
        <v>60.287999999999997</v>
      </c>
      <c r="E92" s="49">
        <v>-0.3522660000000073</v>
      </c>
      <c r="F92" s="50">
        <v>-5.8091104019894514E-3</v>
      </c>
    </row>
    <row r="93" spans="1:6" x14ac:dyDescent="0.25">
      <c r="A93" t="s">
        <v>513</v>
      </c>
      <c r="B93" t="s">
        <v>514</v>
      </c>
      <c r="C93">
        <v>68.521000000000001</v>
      </c>
      <c r="D93">
        <v>64.97</v>
      </c>
      <c r="E93" s="49">
        <v>1.2122329999999977</v>
      </c>
      <c r="F93" s="50">
        <v>1.9013103140829848E-2</v>
      </c>
    </row>
    <row r="94" spans="1:6" x14ac:dyDescent="0.25">
      <c r="A94" t="s">
        <v>385</v>
      </c>
      <c r="B94" t="s">
        <v>526</v>
      </c>
      <c r="C94">
        <v>75.632000000000005</v>
      </c>
      <c r="D94">
        <v>70.307000000000002</v>
      </c>
      <c r="E94" s="49">
        <v>-4.2664000000002034E-2</v>
      </c>
      <c r="F94" s="50">
        <v>-6.0645634355840038E-4</v>
      </c>
    </row>
    <row r="95" spans="1:6" x14ac:dyDescent="0.25">
      <c r="A95" t="s">
        <v>289</v>
      </c>
      <c r="B95" t="s">
        <v>516</v>
      </c>
      <c r="C95">
        <v>85.7</v>
      </c>
      <c r="D95">
        <v>79.7</v>
      </c>
      <c r="E95" s="49">
        <v>1.7299999999991655E-2</v>
      </c>
      <c r="F95" s="50">
        <v>2.1711111696756828E-4</v>
      </c>
    </row>
    <row r="96" spans="1:6" x14ac:dyDescent="0.25">
      <c r="A96" t="s">
        <v>291</v>
      </c>
      <c r="B96" t="s">
        <v>292</v>
      </c>
      <c r="C96">
        <v>82.281000000000006</v>
      </c>
      <c r="D96">
        <v>78.231999999999999</v>
      </c>
      <c r="E96" s="49">
        <v>1.7187129999999939</v>
      </c>
      <c r="F96" s="50">
        <v>2.2462935097795417E-2</v>
      </c>
    </row>
    <row r="97" spans="1:6" x14ac:dyDescent="0.25">
      <c r="A97" t="s">
        <v>283</v>
      </c>
      <c r="B97" t="s">
        <v>512</v>
      </c>
      <c r="C97">
        <v>75.599999999999994</v>
      </c>
      <c r="D97">
        <v>67.400000000000006</v>
      </c>
      <c r="E97" s="49">
        <v>-2.9199999999999875</v>
      </c>
      <c r="F97" s="50">
        <v>-4.1524459613196639E-2</v>
      </c>
    </row>
    <row r="98" spans="1:6" x14ac:dyDescent="0.25">
      <c r="A98" t="s">
        <v>293</v>
      </c>
      <c r="B98" t="s">
        <v>517</v>
      </c>
      <c r="C98">
        <v>69.572000000000003</v>
      </c>
      <c r="D98">
        <v>65.793000000000006</v>
      </c>
      <c r="E98" s="49">
        <v>1.0609560000000045</v>
      </c>
      <c r="F98" s="50">
        <v>1.6389965995821241E-2</v>
      </c>
    </row>
    <row r="99" spans="1:6" x14ac:dyDescent="0.25">
      <c r="A99" t="s">
        <v>311</v>
      </c>
      <c r="B99" t="s">
        <v>312</v>
      </c>
      <c r="C99">
        <v>79.7</v>
      </c>
      <c r="D99">
        <v>70.099999999999994</v>
      </c>
      <c r="E99" s="49">
        <v>-4.020700000000005</v>
      </c>
      <c r="F99" s="50">
        <v>-5.4245305292583652E-2</v>
      </c>
    </row>
    <row r="100" spans="1:6" x14ac:dyDescent="0.25">
      <c r="A100" t="s">
        <v>295</v>
      </c>
      <c r="B100" t="s">
        <v>296</v>
      </c>
      <c r="C100">
        <v>81.454999999999998</v>
      </c>
      <c r="D100">
        <v>77.784000000000006</v>
      </c>
      <c r="E100" s="49">
        <v>2.0364150000000052</v>
      </c>
      <c r="F100" s="50">
        <v>2.6884223437618576E-2</v>
      </c>
    </row>
    <row r="101" spans="1:6" x14ac:dyDescent="0.25">
      <c r="A101" t="s">
        <v>305</v>
      </c>
      <c r="B101" t="s">
        <v>306</v>
      </c>
      <c r="C101">
        <v>56.591000000000001</v>
      </c>
      <c r="D101">
        <v>50.991999999999997</v>
      </c>
      <c r="E101" s="49">
        <v>-1.706657000000007</v>
      </c>
      <c r="F101" s="50">
        <v>-3.2385208602185189E-2</v>
      </c>
    </row>
    <row r="102" spans="1:6" x14ac:dyDescent="0.25">
      <c r="A102" t="s">
        <v>297</v>
      </c>
      <c r="B102" t="s">
        <v>298</v>
      </c>
      <c r="C102">
        <v>62.164000000000001</v>
      </c>
      <c r="D102">
        <v>59.524999999999999</v>
      </c>
      <c r="E102" s="49">
        <v>1.6601719999999958</v>
      </c>
      <c r="F102" s="50">
        <v>2.8690519913063522E-2</v>
      </c>
    </row>
    <row r="103" spans="1:6" x14ac:dyDescent="0.25">
      <c r="A103" t="s">
        <v>299</v>
      </c>
      <c r="B103" t="s">
        <v>300</v>
      </c>
      <c r="C103">
        <v>75.876999999999995</v>
      </c>
      <c r="D103">
        <v>70.016999999999996</v>
      </c>
      <c r="E103" s="49">
        <v>-0.55977900000000602</v>
      </c>
      <c r="F103" s="50">
        <v>-7.9314897609595644E-3</v>
      </c>
    </row>
    <row r="104" spans="1:6" x14ac:dyDescent="0.25">
      <c r="A104" t="s">
        <v>519</v>
      </c>
      <c r="B104" t="s">
        <v>520</v>
      </c>
      <c r="C104">
        <v>85.5</v>
      </c>
      <c r="D104">
        <v>80.7</v>
      </c>
      <c r="E104" s="49">
        <v>1.2027000000000072</v>
      </c>
      <c r="F104" s="50">
        <v>1.512881569562749E-2</v>
      </c>
    </row>
    <row r="105" spans="1:6" x14ac:dyDescent="0.25">
      <c r="A105" t="s">
        <v>307</v>
      </c>
      <c r="B105" t="s">
        <v>308</v>
      </c>
      <c r="C105">
        <v>80.7</v>
      </c>
      <c r="D105">
        <v>70.900000000000006</v>
      </c>
      <c r="E105" s="49">
        <v>-4.1477000000000004</v>
      </c>
      <c r="F105" s="50">
        <v>-5.5267516526156031E-2</v>
      </c>
    </row>
    <row r="106" spans="1:6" x14ac:dyDescent="0.25">
      <c r="A106" t="s">
        <v>309</v>
      </c>
      <c r="B106" t="s">
        <v>310</v>
      </c>
      <c r="C106">
        <v>84.6</v>
      </c>
      <c r="D106">
        <v>80.099999999999994</v>
      </c>
      <c r="E106" s="49">
        <v>1.4369999999999976</v>
      </c>
      <c r="F106" s="50">
        <v>1.8267800617825378E-2</v>
      </c>
    </row>
    <row r="107" spans="1:6" x14ac:dyDescent="0.25">
      <c r="A107" t="s">
        <v>521</v>
      </c>
      <c r="B107" t="s">
        <v>522</v>
      </c>
      <c r="C107">
        <v>87.438999999999993</v>
      </c>
      <c r="D107">
        <v>82.349000000000004</v>
      </c>
      <c r="E107" s="49">
        <v>1.0542470000000037</v>
      </c>
      <c r="F107" s="50">
        <v>1.2968204725340684E-2</v>
      </c>
    </row>
    <row r="108" spans="1:6" x14ac:dyDescent="0.25">
      <c r="A108" t="s">
        <v>319</v>
      </c>
      <c r="B108" t="s">
        <v>320</v>
      </c>
      <c r="C108">
        <v>67.432000000000002</v>
      </c>
      <c r="D108">
        <v>63.2</v>
      </c>
      <c r="E108" s="49">
        <v>0.45173599999999681</v>
      </c>
      <c r="F108" s="50">
        <v>7.1991792474130718E-3</v>
      </c>
    </row>
    <row r="109" spans="1:6" x14ac:dyDescent="0.25">
      <c r="A109" t="s">
        <v>345</v>
      </c>
      <c r="B109" t="s">
        <v>346</v>
      </c>
      <c r="C109">
        <v>66.959999999999994</v>
      </c>
      <c r="D109">
        <v>59.723999999999997</v>
      </c>
      <c r="E109" s="49">
        <v>-2.5867199999999997</v>
      </c>
      <c r="F109" s="50">
        <v>-4.1513242023202425E-2</v>
      </c>
    </row>
    <row r="110" spans="1:6" x14ac:dyDescent="0.25">
      <c r="A110" t="s">
        <v>347</v>
      </c>
      <c r="B110" t="s">
        <v>348</v>
      </c>
      <c r="C110">
        <v>78.266999999999996</v>
      </c>
      <c r="D110">
        <v>73.293000000000006</v>
      </c>
      <c r="E110" s="49">
        <v>0.50069100000000333</v>
      </c>
      <c r="F110" s="50">
        <v>6.8783502938477101E-3</v>
      </c>
    </row>
    <row r="111" spans="1:6" x14ac:dyDescent="0.25">
      <c r="A111" t="s">
        <v>321</v>
      </c>
      <c r="B111" t="s">
        <v>322</v>
      </c>
      <c r="C111">
        <v>81.073999999999998</v>
      </c>
      <c r="D111">
        <v>79.209999999999994</v>
      </c>
      <c r="E111" s="49">
        <v>3.8156019999999984</v>
      </c>
      <c r="F111" s="50">
        <v>5.0608561129435618E-2</v>
      </c>
    </row>
    <row r="112" spans="1:6" x14ac:dyDescent="0.25">
      <c r="A112" t="s">
        <v>329</v>
      </c>
      <c r="B112" t="s">
        <v>330</v>
      </c>
      <c r="C112">
        <v>60.694000000000003</v>
      </c>
      <c r="D112">
        <v>58.14</v>
      </c>
      <c r="E112" s="49">
        <v>1.6378619999999984</v>
      </c>
      <c r="F112" s="50">
        <v>2.8987611052877296E-2</v>
      </c>
    </row>
    <row r="113" spans="1:6" x14ac:dyDescent="0.25">
      <c r="A113" t="s">
        <v>331</v>
      </c>
      <c r="B113" t="s">
        <v>332</v>
      </c>
      <c r="C113">
        <v>84.6</v>
      </c>
      <c r="D113">
        <v>80.400000000000006</v>
      </c>
      <c r="E113" s="49">
        <v>1.737000000000009</v>
      </c>
      <c r="F113" s="50">
        <v>2.2081537698791162E-2</v>
      </c>
    </row>
    <row r="114" spans="1:6" x14ac:dyDescent="0.25">
      <c r="A114" t="s">
        <v>325</v>
      </c>
      <c r="B114" t="s">
        <v>326</v>
      </c>
      <c r="C114">
        <v>66.355000000000004</v>
      </c>
      <c r="D114">
        <v>62.996000000000002</v>
      </c>
      <c r="E114" s="49">
        <v>1.2461149999999961</v>
      </c>
      <c r="F114" s="50">
        <v>2.0180037582256161E-2</v>
      </c>
    </row>
    <row r="115" spans="1:6" x14ac:dyDescent="0.25">
      <c r="A115" t="s">
        <v>341</v>
      </c>
      <c r="B115" t="s">
        <v>342</v>
      </c>
      <c r="C115">
        <v>67.075000000000003</v>
      </c>
      <c r="D115">
        <v>63.594000000000001</v>
      </c>
      <c r="E115" s="49">
        <v>1.1766749999999959</v>
      </c>
      <c r="F115" s="50">
        <v>1.8851737077806456E-2</v>
      </c>
    </row>
    <row r="116" spans="1:6" x14ac:dyDescent="0.25">
      <c r="A116" t="s">
        <v>343</v>
      </c>
      <c r="B116" t="s">
        <v>344</v>
      </c>
      <c r="C116">
        <v>77.72</v>
      </c>
      <c r="D116">
        <v>71.27</v>
      </c>
      <c r="E116" s="49">
        <v>-1.0152400000000057</v>
      </c>
      <c r="F116" s="50">
        <v>-1.4044914286789469E-2</v>
      </c>
    </row>
    <row r="117" spans="1:6" x14ac:dyDescent="0.25">
      <c r="A117" t="s">
        <v>323</v>
      </c>
      <c r="B117" t="s">
        <v>324</v>
      </c>
      <c r="C117">
        <v>77.286000000000001</v>
      </c>
      <c r="D117">
        <v>70.828999999999994</v>
      </c>
      <c r="E117" s="49">
        <v>-1.0539220000000142</v>
      </c>
      <c r="F117" s="50">
        <v>-1.4661646614755228E-2</v>
      </c>
    </row>
    <row r="118" spans="1:6" x14ac:dyDescent="0.25">
      <c r="A118" t="s">
        <v>502</v>
      </c>
      <c r="B118" t="s">
        <v>503</v>
      </c>
      <c r="C118">
        <v>74.954999999999998</v>
      </c>
      <c r="D118">
        <v>67.92</v>
      </c>
      <c r="E118" s="49">
        <v>-1.8020849999999911</v>
      </c>
      <c r="F118" s="50">
        <v>-2.5846688319776885E-2</v>
      </c>
    </row>
    <row r="119" spans="1:6" x14ac:dyDescent="0.25">
      <c r="A119" t="s">
        <v>317</v>
      </c>
      <c r="B119" t="s">
        <v>523</v>
      </c>
      <c r="C119">
        <v>75.231999999999999</v>
      </c>
      <c r="D119">
        <v>65.921000000000006</v>
      </c>
      <c r="E119" s="49">
        <v>-4.057863999999995</v>
      </c>
      <c r="F119" s="50">
        <v>-5.7986994473073969E-2</v>
      </c>
    </row>
    <row r="120" spans="1:6" x14ac:dyDescent="0.25">
      <c r="A120" t="s">
        <v>337</v>
      </c>
      <c r="B120" t="s">
        <v>338</v>
      </c>
      <c r="C120">
        <v>75.828999999999994</v>
      </c>
      <c r="D120">
        <v>66.811000000000007</v>
      </c>
      <c r="E120" s="49">
        <v>-3.7212829999999855</v>
      </c>
      <c r="F120" s="50">
        <v>-5.275999644021144E-2</v>
      </c>
    </row>
    <row r="121" spans="1:6" x14ac:dyDescent="0.25">
      <c r="A121" t="s">
        <v>335</v>
      </c>
      <c r="B121" t="s">
        <v>336</v>
      </c>
      <c r="C121">
        <v>79.3</v>
      </c>
      <c r="D121">
        <v>74.5</v>
      </c>
      <c r="E121" s="49">
        <v>0.75010000000000332</v>
      </c>
      <c r="F121" s="50">
        <v>1.0170861248625467E-2</v>
      </c>
    </row>
    <row r="122" spans="1:6" x14ac:dyDescent="0.25">
      <c r="A122" t="s">
        <v>313</v>
      </c>
      <c r="B122" t="s">
        <v>314</v>
      </c>
      <c r="C122">
        <v>76.085999999999999</v>
      </c>
      <c r="D122">
        <v>72.028000000000006</v>
      </c>
      <c r="E122" s="49">
        <v>1.2574780000000061</v>
      </c>
      <c r="F122" s="50">
        <v>1.7768386673762362E-2</v>
      </c>
    </row>
    <row r="123" spans="1:6" x14ac:dyDescent="0.25">
      <c r="A123" t="s">
        <v>339</v>
      </c>
      <c r="B123" t="s">
        <v>340</v>
      </c>
      <c r="C123">
        <v>63.234000000000002</v>
      </c>
      <c r="D123">
        <v>57.720999999999997</v>
      </c>
      <c r="E123" s="49">
        <v>-1.1357180000000042</v>
      </c>
      <c r="F123" s="50">
        <v>-1.9296318901098158E-2</v>
      </c>
    </row>
    <row r="124" spans="1:6" x14ac:dyDescent="0.25">
      <c r="A124" t="s">
        <v>333</v>
      </c>
      <c r="B124" t="s">
        <v>334</v>
      </c>
      <c r="C124">
        <v>69.676000000000002</v>
      </c>
      <c r="D124">
        <v>63.406999999999996</v>
      </c>
      <c r="E124" s="49">
        <v>-1.4214520000000022</v>
      </c>
      <c r="F124" s="50">
        <v>-2.1926360357949041E-2</v>
      </c>
    </row>
    <row r="125" spans="1:6" x14ac:dyDescent="0.25">
      <c r="A125" t="s">
        <v>349</v>
      </c>
      <c r="B125" t="s">
        <v>350</v>
      </c>
      <c r="C125">
        <v>66.176000000000002</v>
      </c>
      <c r="D125">
        <v>58.930999999999997</v>
      </c>
      <c r="E125" s="49">
        <v>-2.6529520000000062</v>
      </c>
      <c r="F125" s="50">
        <v>-4.3078625418518222E-2</v>
      </c>
    </row>
    <row r="126" spans="1:6" x14ac:dyDescent="0.25">
      <c r="A126" t="s">
        <v>363</v>
      </c>
      <c r="B126" t="s">
        <v>364</v>
      </c>
      <c r="C126">
        <v>66.989000000000004</v>
      </c>
      <c r="D126">
        <v>59.883000000000003</v>
      </c>
      <c r="E126" s="49">
        <v>-2.4546029999999988</v>
      </c>
      <c r="F126" s="50">
        <v>-3.937596060599248E-2</v>
      </c>
    </row>
    <row r="127" spans="1:6" x14ac:dyDescent="0.25">
      <c r="A127" t="s">
        <v>361</v>
      </c>
      <c r="B127" t="s">
        <v>362</v>
      </c>
      <c r="C127">
        <v>70.718999999999994</v>
      </c>
      <c r="D127">
        <v>67.230999999999995</v>
      </c>
      <c r="E127" s="49">
        <v>1.4356870000000015</v>
      </c>
      <c r="F127" s="50">
        <v>2.1820505664286477E-2</v>
      </c>
    </row>
    <row r="128" spans="1:6" x14ac:dyDescent="0.25">
      <c r="A128" t="s">
        <v>357</v>
      </c>
      <c r="B128" t="s">
        <v>358</v>
      </c>
      <c r="C128">
        <v>83.4</v>
      </c>
      <c r="D128">
        <v>80.3</v>
      </c>
      <c r="E128" s="49">
        <v>2.7493999999999943</v>
      </c>
      <c r="F128" s="50">
        <v>3.5452981666163695E-2</v>
      </c>
    </row>
    <row r="129" spans="1:6" x14ac:dyDescent="0.25">
      <c r="A129" t="s">
        <v>524</v>
      </c>
      <c r="B129" t="s">
        <v>525</v>
      </c>
      <c r="C129">
        <v>83.820999999999998</v>
      </c>
      <c r="D129">
        <v>76.367000000000004</v>
      </c>
      <c r="E129" s="49">
        <v>-1.5738669999999928</v>
      </c>
      <c r="F129" s="50">
        <v>-2.019309074403795E-2</v>
      </c>
    </row>
    <row r="130" spans="1:6" x14ac:dyDescent="0.25">
      <c r="A130" t="s">
        <v>365</v>
      </c>
      <c r="B130" t="s">
        <v>366</v>
      </c>
      <c r="C130">
        <v>83.5</v>
      </c>
      <c r="D130">
        <v>80</v>
      </c>
      <c r="E130" s="49">
        <v>2.3567000000000036</v>
      </c>
      <c r="F130" s="50">
        <v>3.0352908750658509E-2</v>
      </c>
    </row>
    <row r="131" spans="1:6" x14ac:dyDescent="0.25">
      <c r="A131" t="s">
        <v>355</v>
      </c>
      <c r="B131" t="s">
        <v>356</v>
      </c>
      <c r="C131">
        <v>76.680999999999997</v>
      </c>
      <c r="D131">
        <v>70.963999999999999</v>
      </c>
      <c r="E131" s="49">
        <v>-0.3580869999999976</v>
      </c>
      <c r="F131" s="50">
        <v>-5.0207027733217852E-3</v>
      </c>
    </row>
    <row r="132" spans="1:6" x14ac:dyDescent="0.25">
      <c r="A132" t="s">
        <v>351</v>
      </c>
      <c r="B132" t="s">
        <v>352</v>
      </c>
      <c r="C132">
        <v>63.295000000000002</v>
      </c>
      <c r="D132">
        <v>61.610999999999997</v>
      </c>
      <c r="E132" s="49">
        <v>2.6977349999999944</v>
      </c>
      <c r="F132" s="50">
        <v>4.579163962479408E-2</v>
      </c>
    </row>
    <row r="133" spans="1:6" x14ac:dyDescent="0.25">
      <c r="A133" t="s">
        <v>353</v>
      </c>
      <c r="B133" t="s">
        <v>354</v>
      </c>
      <c r="C133">
        <v>52.77</v>
      </c>
      <c r="D133">
        <v>52.331000000000003</v>
      </c>
      <c r="E133" s="49">
        <v>3.1744100000000017</v>
      </c>
      <c r="F133" s="50">
        <v>6.4577506291628478E-2</v>
      </c>
    </row>
    <row r="134" spans="1:6" x14ac:dyDescent="0.25">
      <c r="A134" t="s">
        <v>327</v>
      </c>
      <c r="B134" t="s">
        <v>328</v>
      </c>
      <c r="C134">
        <v>78.8</v>
      </c>
      <c r="D134">
        <v>74.599999999999994</v>
      </c>
      <c r="E134" s="49">
        <v>1.3135999999999939</v>
      </c>
      <c r="F134" s="50">
        <v>1.7924198759933545E-2</v>
      </c>
    </row>
    <row r="135" spans="1:6" x14ac:dyDescent="0.25">
      <c r="A135" t="s">
        <v>359</v>
      </c>
      <c r="B135" t="s">
        <v>360</v>
      </c>
      <c r="C135">
        <v>84.5</v>
      </c>
      <c r="D135">
        <v>81.099999999999994</v>
      </c>
      <c r="E135" s="49">
        <v>2.5296999999999912</v>
      </c>
      <c r="F135" s="50">
        <v>3.2196644279072262E-2</v>
      </c>
    </row>
    <row r="136" spans="1:6" x14ac:dyDescent="0.25">
      <c r="A136" t="s">
        <v>367</v>
      </c>
      <c r="B136" t="s">
        <v>368</v>
      </c>
      <c r="C136">
        <v>79.897999999999996</v>
      </c>
      <c r="D136">
        <v>76.534000000000006</v>
      </c>
      <c r="E136" s="49">
        <v>2.229754000000014</v>
      </c>
      <c r="F136" s="50">
        <v>3.0008433165448097E-2</v>
      </c>
    </row>
    <row r="137" spans="1:6" x14ac:dyDescent="0.25">
      <c r="A137" t="s">
        <v>369</v>
      </c>
      <c r="B137" t="s">
        <v>370</v>
      </c>
      <c r="C137">
        <v>68.959000000000003</v>
      </c>
      <c r="D137">
        <v>64.221999999999994</v>
      </c>
      <c r="E137" s="49">
        <v>5.820699999998169E-2</v>
      </c>
      <c r="F137" s="50">
        <v>9.0716270467336121E-4</v>
      </c>
    </row>
    <row r="138" spans="1:6" x14ac:dyDescent="0.25">
      <c r="A138" t="s">
        <v>371</v>
      </c>
      <c r="B138" t="s">
        <v>372</v>
      </c>
      <c r="C138">
        <v>81.024000000000001</v>
      </c>
      <c r="D138">
        <v>74.825999999999993</v>
      </c>
      <c r="E138" s="49">
        <v>-0.52204800000001228</v>
      </c>
      <c r="F138" s="50">
        <v>-6.9284873843050614E-3</v>
      </c>
    </row>
    <row r="139" spans="1:6" x14ac:dyDescent="0.25">
      <c r="A139" t="s">
        <v>379</v>
      </c>
      <c r="B139" t="s">
        <v>380</v>
      </c>
      <c r="C139">
        <v>68.123000000000005</v>
      </c>
      <c r="D139">
        <v>62.869</v>
      </c>
      <c r="E139" s="49">
        <v>-0.51982100000000742</v>
      </c>
      <c r="F139" s="50">
        <v>-8.2005153558544243E-3</v>
      </c>
    </row>
    <row r="140" spans="1:6" x14ac:dyDescent="0.25">
      <c r="A140" t="s">
        <v>389</v>
      </c>
      <c r="B140" t="s">
        <v>390</v>
      </c>
      <c r="C140">
        <v>76.341999999999999</v>
      </c>
      <c r="D140">
        <v>70.945999999999998</v>
      </c>
      <c r="E140" s="49">
        <v>-6.1834000000004608E-2</v>
      </c>
      <c r="F140" s="50">
        <v>-8.7080532550823343E-4</v>
      </c>
    </row>
    <row r="141" spans="1:6" x14ac:dyDescent="0.25">
      <c r="A141" t="s">
        <v>373</v>
      </c>
      <c r="B141" t="s">
        <v>374</v>
      </c>
      <c r="C141">
        <v>78.293000000000006</v>
      </c>
      <c r="D141">
        <v>73.8</v>
      </c>
      <c r="E141" s="49">
        <v>0.98358899999999494</v>
      </c>
      <c r="F141" s="50">
        <v>1.3507792906739044E-2</v>
      </c>
    </row>
    <row r="142" spans="1:6" x14ac:dyDescent="0.25">
      <c r="A142" t="s">
        <v>375</v>
      </c>
      <c r="B142" t="s">
        <v>376</v>
      </c>
      <c r="C142">
        <v>73.555999999999997</v>
      </c>
      <c r="D142">
        <v>69.814999999999998</v>
      </c>
      <c r="E142" s="49">
        <v>1.3897879999999958</v>
      </c>
      <c r="F142" s="50">
        <v>2.0311051429405813E-2</v>
      </c>
    </row>
    <row r="143" spans="1:6" x14ac:dyDescent="0.25">
      <c r="A143" t="s">
        <v>381</v>
      </c>
      <c r="B143" t="s">
        <v>382</v>
      </c>
      <c r="C143">
        <v>81.7</v>
      </c>
      <c r="D143">
        <v>73.7</v>
      </c>
      <c r="E143" s="49">
        <v>-2.2746999999999957</v>
      </c>
      <c r="F143" s="50">
        <v>-2.9940230102915782E-2</v>
      </c>
    </row>
    <row r="144" spans="1:6" x14ac:dyDescent="0.25">
      <c r="A144" t="s">
        <v>387</v>
      </c>
      <c r="B144" t="s">
        <v>388</v>
      </c>
      <c r="C144">
        <v>84.5</v>
      </c>
      <c r="D144">
        <v>78.3</v>
      </c>
      <c r="E144" s="49">
        <v>-0.27030000000000598</v>
      </c>
      <c r="F144" s="50">
        <v>-3.4402312324123235E-3</v>
      </c>
    </row>
    <row r="145" spans="1:6" x14ac:dyDescent="0.25">
      <c r="A145" t="s">
        <v>383</v>
      </c>
      <c r="B145" t="s">
        <v>384</v>
      </c>
      <c r="C145">
        <v>84.236000000000004</v>
      </c>
      <c r="D145">
        <v>75.474999999999994</v>
      </c>
      <c r="E145" s="49">
        <v>-2.8505720000000139</v>
      </c>
      <c r="F145" s="50">
        <v>-3.6393886788340511E-2</v>
      </c>
    </row>
    <row r="146" spans="1:6" x14ac:dyDescent="0.25">
      <c r="A146" t="s">
        <v>393</v>
      </c>
      <c r="B146" t="s">
        <v>394</v>
      </c>
      <c r="C146">
        <v>82.462000000000003</v>
      </c>
      <c r="D146">
        <v>80.028000000000006</v>
      </c>
      <c r="E146" s="49">
        <v>3.3469259999999963</v>
      </c>
      <c r="F146" s="50">
        <v>4.3647354235022792E-2</v>
      </c>
    </row>
    <row r="147" spans="1:6" x14ac:dyDescent="0.25">
      <c r="A147" t="s">
        <v>395</v>
      </c>
      <c r="B147" t="s">
        <v>396</v>
      </c>
      <c r="C147">
        <v>79.2</v>
      </c>
      <c r="D147">
        <v>71.7</v>
      </c>
      <c r="E147" s="49">
        <v>-1.9572000000000003</v>
      </c>
      <c r="F147" s="50">
        <v>-2.6571740440853035E-2</v>
      </c>
    </row>
    <row r="148" spans="1:6" x14ac:dyDescent="0.25">
      <c r="A148" t="s">
        <v>397</v>
      </c>
      <c r="B148" t="s">
        <v>398</v>
      </c>
      <c r="C148">
        <v>77.819999999999993</v>
      </c>
      <c r="D148">
        <v>67.75</v>
      </c>
      <c r="E148" s="49">
        <v>-4.6279399999999953</v>
      </c>
      <c r="F148" s="50">
        <v>-6.3941305873032525E-2</v>
      </c>
    </row>
    <row r="149" spans="1:6" x14ac:dyDescent="0.25">
      <c r="A149" t="s">
        <v>399</v>
      </c>
      <c r="B149" t="s">
        <v>400</v>
      </c>
      <c r="C149">
        <v>68.266000000000005</v>
      </c>
      <c r="D149">
        <v>64.013000000000005</v>
      </c>
      <c r="E149" s="49">
        <v>0.49161800000000255</v>
      </c>
      <c r="F149" s="50">
        <v>7.7394096998708644E-3</v>
      </c>
    </row>
    <row r="150" spans="1:6" x14ac:dyDescent="0.25">
      <c r="A150" t="s">
        <v>537</v>
      </c>
      <c r="B150" t="s">
        <v>538</v>
      </c>
      <c r="C150">
        <v>75.313999999999993</v>
      </c>
      <c r="D150">
        <v>70.210999999999999</v>
      </c>
      <c r="E150" s="49">
        <v>0.15612200000001053</v>
      </c>
      <c r="F150" s="50">
        <v>2.2285671527400358E-3</v>
      </c>
    </row>
    <row r="151" spans="1:6" x14ac:dyDescent="0.25">
      <c r="A151" t="s">
        <v>423</v>
      </c>
      <c r="B151" t="s">
        <v>424</v>
      </c>
      <c r="C151">
        <v>71.444999999999993</v>
      </c>
      <c r="D151">
        <v>65.653000000000006</v>
      </c>
      <c r="E151" s="49">
        <v>-0.81531499999998402</v>
      </c>
      <c r="F151" s="50">
        <v>-1.2266220378837407E-2</v>
      </c>
    </row>
    <row r="152" spans="1:6" x14ac:dyDescent="0.25">
      <c r="A152" t="s">
        <v>401</v>
      </c>
      <c r="B152" t="s">
        <v>402</v>
      </c>
      <c r="C152">
        <v>78.911000000000001</v>
      </c>
      <c r="D152">
        <v>75.921000000000006</v>
      </c>
      <c r="E152" s="49">
        <v>2.5317030000000074</v>
      </c>
      <c r="F152" s="50">
        <v>3.4496896734138326E-2</v>
      </c>
    </row>
    <row r="153" spans="1:6" x14ac:dyDescent="0.25">
      <c r="A153" t="s">
        <v>405</v>
      </c>
      <c r="B153" t="s">
        <v>406</v>
      </c>
      <c r="C153">
        <v>70.257999999999996</v>
      </c>
      <c r="D153">
        <v>65.78</v>
      </c>
      <c r="E153" s="49">
        <v>0.41203400000000556</v>
      </c>
      <c r="F153" s="50">
        <v>6.3033015284582293E-3</v>
      </c>
    </row>
    <row r="154" spans="1:6" x14ac:dyDescent="0.25">
      <c r="A154" t="s">
        <v>419</v>
      </c>
      <c r="B154" t="s">
        <v>420</v>
      </c>
      <c r="C154">
        <v>78.400000000000006</v>
      </c>
      <c r="D154">
        <v>73.5</v>
      </c>
      <c r="E154" s="49">
        <v>0.58439999999998804</v>
      </c>
      <c r="F154" s="50">
        <v>8.0147458157100535E-3</v>
      </c>
    </row>
    <row r="155" spans="1:6" x14ac:dyDescent="0.25">
      <c r="A155" t="s">
        <v>435</v>
      </c>
      <c r="B155" t="s">
        <v>436</v>
      </c>
      <c r="C155">
        <v>77.400000000000006</v>
      </c>
      <c r="D155">
        <v>68.5</v>
      </c>
      <c r="E155" s="49">
        <v>-3.4886000000000053</v>
      </c>
      <c r="F155" s="50">
        <v>-4.8460450682469236E-2</v>
      </c>
    </row>
    <row r="156" spans="1:6" x14ac:dyDescent="0.25">
      <c r="A156" t="s">
        <v>411</v>
      </c>
      <c r="B156" t="s">
        <v>412</v>
      </c>
      <c r="C156">
        <v>61.167999999999999</v>
      </c>
      <c r="D156">
        <v>58.418999999999997</v>
      </c>
      <c r="E156" s="49">
        <v>1.4774639999999977</v>
      </c>
      <c r="F156" s="50">
        <v>2.5947034516244832E-2</v>
      </c>
    </row>
    <row r="157" spans="1:6" x14ac:dyDescent="0.25">
      <c r="A157" t="s">
        <v>407</v>
      </c>
      <c r="B157" t="s">
        <v>408</v>
      </c>
      <c r="C157">
        <v>85.5</v>
      </c>
      <c r="D157">
        <v>81.2</v>
      </c>
      <c r="E157" s="49">
        <v>1.7027000000000072</v>
      </c>
      <c r="F157" s="50">
        <v>2.1418337478128279E-2</v>
      </c>
    </row>
    <row r="158" spans="1:6" x14ac:dyDescent="0.25">
      <c r="A158" t="s">
        <v>427</v>
      </c>
      <c r="B158" t="s">
        <v>528</v>
      </c>
      <c r="C158">
        <v>80.8</v>
      </c>
      <c r="D158">
        <v>73.900000000000006</v>
      </c>
      <c r="E158" s="49">
        <v>-1.240399999999994</v>
      </c>
      <c r="F158" s="50">
        <v>-1.6507764132211087E-2</v>
      </c>
    </row>
    <row r="159" spans="1:6" x14ac:dyDescent="0.25">
      <c r="A159" t="s">
        <v>429</v>
      </c>
      <c r="B159" t="s">
        <v>430</v>
      </c>
      <c r="C159">
        <v>84.4</v>
      </c>
      <c r="D159">
        <v>78.5</v>
      </c>
      <c r="E159" s="49">
        <v>2.2399999999990428E-2</v>
      </c>
      <c r="F159" s="50">
        <v>2.85431766516693E-4</v>
      </c>
    </row>
    <row r="160" spans="1:6" x14ac:dyDescent="0.25">
      <c r="A160" t="s">
        <v>409</v>
      </c>
      <c r="B160" t="s">
        <v>410</v>
      </c>
      <c r="C160">
        <v>71.736999999999995</v>
      </c>
      <c r="D160">
        <v>68.786000000000001</v>
      </c>
      <c r="E160" s="49">
        <v>2.0470010000000087</v>
      </c>
      <c r="F160" s="50">
        <v>3.0671736625837151E-2</v>
      </c>
    </row>
    <row r="161" spans="1:6" x14ac:dyDescent="0.25">
      <c r="A161" t="s">
        <v>417</v>
      </c>
      <c r="B161" t="s">
        <v>418</v>
      </c>
      <c r="C161">
        <v>58.545000000000002</v>
      </c>
      <c r="D161">
        <v>54.283000000000001</v>
      </c>
      <c r="E161" s="49">
        <v>-0.22701500000000152</v>
      </c>
      <c r="F161" s="50">
        <v>-4.1646475422911092E-3</v>
      </c>
    </row>
    <row r="162" spans="1:6" x14ac:dyDescent="0.25">
      <c r="A162" t="s">
        <v>483</v>
      </c>
      <c r="B162" t="s">
        <v>484</v>
      </c>
      <c r="C162">
        <v>68.739999999999995</v>
      </c>
      <c r="D162">
        <v>62.203000000000003</v>
      </c>
      <c r="E162" s="49">
        <v>-1.7577799999999897</v>
      </c>
      <c r="F162" s="50">
        <v>-2.7482153907441246E-2</v>
      </c>
    </row>
    <row r="163" spans="1:6" x14ac:dyDescent="0.25">
      <c r="A163" t="s">
        <v>421</v>
      </c>
      <c r="B163" t="s">
        <v>422</v>
      </c>
      <c r="C163">
        <v>57.35</v>
      </c>
      <c r="D163">
        <v>54.487000000000002</v>
      </c>
      <c r="E163" s="49">
        <v>1.0847499999999997</v>
      </c>
      <c r="F163" s="50">
        <v>2.0312814534968089E-2</v>
      </c>
    </row>
    <row r="164" spans="1:6" x14ac:dyDescent="0.25">
      <c r="A164" t="s">
        <v>213</v>
      </c>
      <c r="B164" t="s">
        <v>214</v>
      </c>
      <c r="C164">
        <v>86.3</v>
      </c>
      <c r="D164">
        <v>80.7</v>
      </c>
      <c r="E164" s="49">
        <v>0.46110000000000184</v>
      </c>
      <c r="F164" s="50">
        <v>5.746589247858605E-3</v>
      </c>
    </row>
    <row r="165" spans="1:6" x14ac:dyDescent="0.25">
      <c r="A165" t="s">
        <v>303</v>
      </c>
      <c r="B165" t="s">
        <v>304</v>
      </c>
      <c r="C165">
        <v>79.492999999999995</v>
      </c>
      <c r="D165">
        <v>71.983000000000004</v>
      </c>
      <c r="E165" s="49">
        <v>-1.945810999999992</v>
      </c>
      <c r="F165" s="50">
        <v>-2.6320063500006676E-2</v>
      </c>
    </row>
    <row r="166" spans="1:6" x14ac:dyDescent="0.25">
      <c r="A166" t="s">
        <v>287</v>
      </c>
      <c r="B166" t="s">
        <v>515</v>
      </c>
      <c r="C166">
        <v>75.084999999999994</v>
      </c>
      <c r="D166">
        <v>68.206000000000003</v>
      </c>
      <c r="E166" s="49">
        <v>-1.6365949999999856</v>
      </c>
      <c r="F166" s="50">
        <v>-2.343262016538741E-2</v>
      </c>
    </row>
    <row r="167" spans="1:6" x14ac:dyDescent="0.25">
      <c r="A167" t="s">
        <v>301</v>
      </c>
      <c r="B167" t="s">
        <v>518</v>
      </c>
      <c r="C167">
        <v>76.968000000000004</v>
      </c>
      <c r="D167">
        <v>70.022999999999996</v>
      </c>
      <c r="E167" s="49">
        <v>-1.5651360000000096</v>
      </c>
      <c r="F167" s="50">
        <v>-2.1863064013847345E-2</v>
      </c>
    </row>
    <row r="168" spans="1:6" x14ac:dyDescent="0.25">
      <c r="A168" t="s">
        <v>473</v>
      </c>
      <c r="B168" t="s">
        <v>534</v>
      </c>
      <c r="C168">
        <v>76.863</v>
      </c>
      <c r="D168">
        <v>71.816000000000003</v>
      </c>
      <c r="E168" s="49">
        <v>0.3251989999999978</v>
      </c>
      <c r="F168" s="50">
        <v>4.5488230017173507E-3</v>
      </c>
    </row>
    <row r="169" spans="1:6" x14ac:dyDescent="0.25">
      <c r="A169" t="s">
        <v>403</v>
      </c>
      <c r="B169" t="s">
        <v>404</v>
      </c>
      <c r="C169">
        <v>68.233000000000004</v>
      </c>
      <c r="D169">
        <v>63.207999999999998</v>
      </c>
      <c r="E169" s="49">
        <v>-0.28279100000000312</v>
      </c>
      <c r="F169" s="50">
        <v>-4.4540475169068706E-3</v>
      </c>
    </row>
    <row r="170" spans="1:6" x14ac:dyDescent="0.25">
      <c r="A170" t="s">
        <v>425</v>
      </c>
      <c r="B170" t="s">
        <v>426</v>
      </c>
      <c r="C170">
        <v>75.936999999999998</v>
      </c>
      <c r="D170">
        <v>69.284999999999997</v>
      </c>
      <c r="E170" s="49">
        <v>-1.3473989999999958</v>
      </c>
      <c r="F170" s="50">
        <v>-1.9076217416882528E-2</v>
      </c>
    </row>
    <row r="171" spans="1:6" x14ac:dyDescent="0.25">
      <c r="A171" t="s">
        <v>431</v>
      </c>
      <c r="B171" t="s">
        <v>432</v>
      </c>
      <c r="C171">
        <v>84.3</v>
      </c>
      <c r="D171">
        <v>80.900000000000006</v>
      </c>
      <c r="E171" s="49">
        <v>2.5151000000000039</v>
      </c>
      <c r="F171" s="50">
        <v>3.2086537075380638E-2</v>
      </c>
    </row>
    <row r="172" spans="1:6" x14ac:dyDescent="0.25">
      <c r="A172" t="s">
        <v>167</v>
      </c>
      <c r="B172" t="s">
        <v>168</v>
      </c>
      <c r="C172">
        <v>85.7</v>
      </c>
      <c r="D172">
        <v>81.900000000000006</v>
      </c>
      <c r="E172" s="49">
        <v>2.2172999999999945</v>
      </c>
      <c r="F172" s="50">
        <v>2.782661732094914E-2</v>
      </c>
    </row>
    <row r="173" spans="1:6" x14ac:dyDescent="0.25">
      <c r="A173" t="s">
        <v>437</v>
      </c>
      <c r="B173" t="s">
        <v>438</v>
      </c>
      <c r="C173">
        <v>75.168000000000006</v>
      </c>
      <c r="D173">
        <v>65.625</v>
      </c>
      <c r="E173" s="49">
        <v>-4.2945360000000079</v>
      </c>
      <c r="F173" s="50">
        <v>-6.1421116982240946E-2</v>
      </c>
    </row>
    <row r="174" spans="1:6" x14ac:dyDescent="0.25">
      <c r="A174" t="s">
        <v>445</v>
      </c>
      <c r="B174" t="s">
        <v>446</v>
      </c>
      <c r="C174">
        <v>72.599000000000004</v>
      </c>
      <c r="D174">
        <v>68.272000000000006</v>
      </c>
      <c r="E174" s="49">
        <v>0.73392699999999422</v>
      </c>
      <c r="F174" s="50">
        <v>1.0866863198776697E-2</v>
      </c>
    </row>
    <row r="175" spans="1:6" x14ac:dyDescent="0.25">
      <c r="A175" t="s">
        <v>461</v>
      </c>
      <c r="B175" t="s">
        <v>532</v>
      </c>
      <c r="C175">
        <v>68.649000000000001</v>
      </c>
      <c r="D175">
        <v>64.474999999999994</v>
      </c>
      <c r="E175" s="49">
        <v>0.5985769999999917</v>
      </c>
      <c r="F175" s="50">
        <v>9.3708597302011049E-3</v>
      </c>
    </row>
    <row r="176" spans="1:6" x14ac:dyDescent="0.25">
      <c r="A176" t="s">
        <v>443</v>
      </c>
      <c r="B176" t="s">
        <v>444</v>
      </c>
      <c r="C176">
        <v>83.149000000000001</v>
      </c>
      <c r="D176">
        <v>74.314999999999998</v>
      </c>
      <c r="E176" s="49">
        <v>-3.0029230000000098</v>
      </c>
      <c r="F176" s="50">
        <v>-3.8838640298188162E-2</v>
      </c>
    </row>
    <row r="177" spans="1:6" x14ac:dyDescent="0.25">
      <c r="A177" t="s">
        <v>449</v>
      </c>
      <c r="B177" t="s">
        <v>450</v>
      </c>
      <c r="C177">
        <v>69.701999999999998</v>
      </c>
      <c r="D177">
        <v>66.468000000000004</v>
      </c>
      <c r="E177" s="49">
        <v>1.6154460000000057</v>
      </c>
      <c r="F177" s="50">
        <v>2.4909520140101279E-2</v>
      </c>
    </row>
    <row r="178" spans="1:6" x14ac:dyDescent="0.25">
      <c r="A178" t="s">
        <v>441</v>
      </c>
      <c r="B178" t="s">
        <v>442</v>
      </c>
      <c r="C178">
        <v>60.646000000000001</v>
      </c>
      <c r="D178">
        <v>59.829000000000001</v>
      </c>
      <c r="E178" s="49">
        <v>3.3713580000000007</v>
      </c>
      <c r="F178" s="50">
        <v>5.9714821245988287E-2</v>
      </c>
    </row>
    <row r="179" spans="1:6" x14ac:dyDescent="0.25">
      <c r="A179" t="s">
        <v>451</v>
      </c>
      <c r="B179" t="s">
        <v>452</v>
      </c>
      <c r="C179">
        <v>73.614000000000004</v>
      </c>
      <c r="D179">
        <v>68.149000000000001</v>
      </c>
      <c r="E179" s="49">
        <v>-0.32997800000001121</v>
      </c>
      <c r="F179" s="50">
        <v>-4.8186758861969454E-3</v>
      </c>
    </row>
    <row r="180" spans="1:6" x14ac:dyDescent="0.25">
      <c r="A180" t="s">
        <v>453</v>
      </c>
      <c r="B180" t="s">
        <v>454</v>
      </c>
      <c r="C180">
        <v>77.352999999999994</v>
      </c>
      <c r="D180">
        <v>70.299000000000007</v>
      </c>
      <c r="E180" s="49">
        <v>-1.6460309999999936</v>
      </c>
      <c r="F180" s="50">
        <v>-2.2879008836621303E-2</v>
      </c>
    </row>
    <row r="181" spans="1:6" x14ac:dyDescent="0.25">
      <c r="A181" t="s">
        <v>455</v>
      </c>
      <c r="B181" t="s">
        <v>456</v>
      </c>
      <c r="C181">
        <v>79.322999999999993</v>
      </c>
      <c r="D181">
        <v>72.864000000000004</v>
      </c>
      <c r="E181" s="49">
        <v>-0.90722099999999273</v>
      </c>
      <c r="F181" s="50">
        <v>-1.2297763107377506E-2</v>
      </c>
    </row>
    <row r="182" spans="1:6" x14ac:dyDescent="0.25">
      <c r="A182" t="s">
        <v>457</v>
      </c>
      <c r="B182" t="s">
        <v>529</v>
      </c>
      <c r="C182">
        <v>80.683999999999997</v>
      </c>
      <c r="D182">
        <v>74.417000000000002</v>
      </c>
      <c r="E182" s="49">
        <v>-0.61586799999999187</v>
      </c>
      <c r="F182" s="50">
        <v>-8.2079762698127421E-3</v>
      </c>
    </row>
    <row r="183" spans="1:6" x14ac:dyDescent="0.25">
      <c r="A183" t="s">
        <v>447</v>
      </c>
      <c r="B183" t="s">
        <v>448</v>
      </c>
      <c r="C183">
        <v>72.191999999999993</v>
      </c>
      <c r="D183">
        <v>65.408000000000001</v>
      </c>
      <c r="E183" s="49">
        <v>-1.7527839999999912</v>
      </c>
      <c r="F183" s="50">
        <v>-2.6098325475175981E-2</v>
      </c>
    </row>
    <row r="184" spans="1:6" x14ac:dyDescent="0.25">
      <c r="A184" t="s">
        <v>530</v>
      </c>
      <c r="B184" t="s">
        <v>531</v>
      </c>
      <c r="C184">
        <v>68.733999999999995</v>
      </c>
      <c r="D184">
        <v>60.57</v>
      </c>
      <c r="E184" s="49">
        <v>-3.3852179999999947</v>
      </c>
      <c r="F184" s="50">
        <v>-5.2931068110814584E-2</v>
      </c>
    </row>
    <row r="185" spans="1:6" x14ac:dyDescent="0.25">
      <c r="A185" t="s">
        <v>463</v>
      </c>
      <c r="B185" t="s">
        <v>464</v>
      </c>
      <c r="C185">
        <v>64.744</v>
      </c>
      <c r="D185">
        <v>60.587000000000003</v>
      </c>
      <c r="E185" s="49">
        <v>0.33051200000000591</v>
      </c>
      <c r="F185" s="50">
        <v>5.4850856890299666E-3</v>
      </c>
    </row>
    <row r="186" spans="1:6" x14ac:dyDescent="0.25">
      <c r="A186" t="s">
        <v>465</v>
      </c>
      <c r="B186" t="s">
        <v>466</v>
      </c>
      <c r="C186">
        <v>76.72</v>
      </c>
      <c r="D186">
        <v>66.69</v>
      </c>
      <c r="E186" s="49">
        <v>-4.6682399999999973</v>
      </c>
      <c r="F186" s="50">
        <v>-6.5419774927184274E-2</v>
      </c>
    </row>
    <row r="187" spans="1:6" x14ac:dyDescent="0.25">
      <c r="A187" t="s">
        <v>115</v>
      </c>
      <c r="B187" t="s">
        <v>116</v>
      </c>
      <c r="C187">
        <v>81.790000000000006</v>
      </c>
      <c r="D187">
        <v>78.028000000000006</v>
      </c>
      <c r="E187" s="49">
        <v>1.9698700000000002</v>
      </c>
      <c r="F187" s="50">
        <v>2.589953237083268E-2</v>
      </c>
    </row>
    <row r="188" spans="1:6" x14ac:dyDescent="0.25">
      <c r="A188" t="s">
        <v>227</v>
      </c>
      <c r="B188" t="s">
        <v>228</v>
      </c>
      <c r="C188">
        <v>83.1</v>
      </c>
      <c r="D188">
        <v>79.5</v>
      </c>
      <c r="E188" s="49">
        <v>2.2275000000000063</v>
      </c>
      <c r="F188" s="50">
        <v>2.8826555372221768E-2</v>
      </c>
    </row>
    <row r="189" spans="1:6" x14ac:dyDescent="0.25">
      <c r="A189" t="s">
        <v>469</v>
      </c>
      <c r="B189" t="s">
        <v>533</v>
      </c>
      <c r="C189">
        <v>81.2</v>
      </c>
      <c r="D189">
        <v>76.2</v>
      </c>
      <c r="E189" s="49">
        <v>0.68880000000000052</v>
      </c>
      <c r="F189" s="50">
        <v>9.1218256364618833E-3</v>
      </c>
    </row>
    <row r="190" spans="1:6" x14ac:dyDescent="0.25">
      <c r="A190" t="s">
        <v>467</v>
      </c>
      <c r="B190" t="s">
        <v>468</v>
      </c>
      <c r="C190">
        <v>81.283000000000001</v>
      </c>
      <c r="D190">
        <v>73.753</v>
      </c>
      <c r="E190" s="49">
        <v>-1.8351410000000072</v>
      </c>
      <c r="F190" s="50">
        <v>-2.427816024738599E-2</v>
      </c>
    </row>
    <row r="191" spans="1:6" x14ac:dyDescent="0.25">
      <c r="A191" t="s">
        <v>471</v>
      </c>
      <c r="B191" t="s">
        <v>472</v>
      </c>
      <c r="C191">
        <v>73.814999999999998</v>
      </c>
      <c r="D191">
        <v>68.478999999999999</v>
      </c>
      <c r="E191" s="49">
        <v>-0.18630500000000438</v>
      </c>
      <c r="F191" s="50">
        <v>-2.7132334153325958E-3</v>
      </c>
    </row>
    <row r="192" spans="1:6" x14ac:dyDescent="0.25">
      <c r="A192" t="s">
        <v>479</v>
      </c>
      <c r="B192" t="s">
        <v>480</v>
      </c>
      <c r="C192">
        <v>72.3</v>
      </c>
      <c r="D192">
        <v>67.75</v>
      </c>
      <c r="E192" s="49">
        <v>0.48910000000000764</v>
      </c>
      <c r="F192" s="50">
        <v>7.2716838460384521E-3</v>
      </c>
    </row>
    <row r="193" spans="1:6" x14ac:dyDescent="0.25">
      <c r="A193" t="s">
        <v>475</v>
      </c>
      <c r="B193" t="s">
        <v>535</v>
      </c>
      <c r="C193">
        <v>76.430999999999997</v>
      </c>
      <c r="D193">
        <v>67.831999999999994</v>
      </c>
      <c r="E193" s="49">
        <v>-3.2583370000000116</v>
      </c>
      <c r="F193" s="50">
        <v>-4.5833753749120805E-2</v>
      </c>
    </row>
    <row r="194" spans="1:6" x14ac:dyDescent="0.25">
      <c r="A194" t="s">
        <v>477</v>
      </c>
      <c r="B194" t="s">
        <v>536</v>
      </c>
      <c r="C194">
        <v>78.777000000000001</v>
      </c>
      <c r="D194">
        <v>69.245000000000005</v>
      </c>
      <c r="E194" s="49">
        <v>-4.0200789999999955</v>
      </c>
      <c r="F194" s="50">
        <v>-5.4870329150945099E-2</v>
      </c>
    </row>
    <row r="195" spans="1:6" x14ac:dyDescent="0.25">
      <c r="A195" t="s">
        <v>391</v>
      </c>
      <c r="B195" t="s">
        <v>527</v>
      </c>
      <c r="C195">
        <v>77.137</v>
      </c>
      <c r="D195">
        <v>72.463999999999999</v>
      </c>
      <c r="E195" s="49">
        <v>0.7192009999999982</v>
      </c>
      <c r="F195" s="50">
        <v>1.0024433966286507E-2</v>
      </c>
    </row>
    <row r="196" spans="1:6" x14ac:dyDescent="0.25">
      <c r="A196" t="s">
        <v>481</v>
      </c>
      <c r="B196" t="s">
        <v>539</v>
      </c>
      <c r="C196">
        <v>68.600999999999999</v>
      </c>
      <c r="D196">
        <v>60.901000000000003</v>
      </c>
      <c r="E196" s="49">
        <v>-2.930926999999997</v>
      </c>
      <c r="F196" s="50">
        <v>-4.5916317080635788E-2</v>
      </c>
    </row>
    <row r="197" spans="1:6" x14ac:dyDescent="0.25">
      <c r="A197" t="s">
        <v>485</v>
      </c>
      <c r="B197" t="s">
        <v>486</v>
      </c>
      <c r="C197">
        <v>64.915999999999997</v>
      </c>
      <c r="D197">
        <v>59.673999999999999</v>
      </c>
      <c r="E197" s="49">
        <v>-0.74193199999999848</v>
      </c>
      <c r="F197" s="50">
        <v>-1.2280403122805397E-2</v>
      </c>
    </row>
    <row r="198" spans="1:6" x14ac:dyDescent="0.25">
      <c r="A198" t="s">
        <v>487</v>
      </c>
      <c r="B198" t="s">
        <v>488</v>
      </c>
      <c r="C198">
        <v>63.594000000000001</v>
      </c>
      <c r="D198">
        <v>58.968000000000004</v>
      </c>
      <c r="E198" s="49">
        <v>-0.2224379999999968</v>
      </c>
      <c r="F198" s="50">
        <v>-3.7580056427356863E-3</v>
      </c>
    </row>
  </sheetData>
  <sortState xmlns:xlrd2="http://schemas.microsoft.com/office/spreadsheetml/2017/richdata2" ref="A2:F198">
    <sortCondition ref="B2:B198"/>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64</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F1-Instructions</vt:lpstr>
      <vt:lpstr>F2</vt:lpstr>
      <vt:lpstr>F3</vt:lpstr>
      <vt:lpstr>F3-Sans Extreme</vt:lpstr>
      <vt:lpstr>F4</vt:lpstr>
      <vt:lpstr> F4- Carto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Raphael Kobenan</cp:lastModifiedBy>
  <cp:revision>13</cp:revision>
  <dcterms:created xsi:type="dcterms:W3CDTF">2015-11-18T15:15:14Z</dcterms:created>
  <dcterms:modified xsi:type="dcterms:W3CDTF">2026-09-20T18:05:02Z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