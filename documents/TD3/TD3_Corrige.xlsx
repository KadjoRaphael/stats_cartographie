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994f5a795f6aab/Doc enseignement/Université Paris1 Panthéon-Sorbonne/Année 2025-2026/TD3/"/>
    </mc:Choice>
  </mc:AlternateContent>
  <xr:revisionPtr revIDLastSave="70" documentId="13_ncr:1_{E72AC27F-9E8B-4396-8C43-69F958A2C321}" xr6:coauthVersionLast="47" xr6:coauthVersionMax="47" xr10:uidLastSave="{A079011C-BB65-486E-AC10-13B596DE0FB1}"/>
  <bookViews>
    <workbookView xWindow="-108" yWindow="-108" windowWidth="23256" windowHeight="12456" tabRatio="500" activeTab="3" xr2:uid="{00000000-000D-0000-FFFF-FFFF00000000}"/>
  </bookViews>
  <sheets>
    <sheet name="Instructions" sheetId="1" r:id="rId1"/>
    <sheet name="DATA" sheetId="2" r:id="rId2"/>
    <sheet name="Exercice 1" sheetId="3" r:id="rId3"/>
    <sheet name="Exercice 3" sheetId="4" r:id="rId4"/>
    <sheet name="Cartographi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2" i="4"/>
  <c r="I79" i="4" l="1"/>
  <c r="H3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2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2" i="4"/>
  <c r="K2" i="4" s="1"/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79" i="4"/>
  <c r="G7" i="3"/>
  <c r="I156" i="4" l="1"/>
  <c r="K156" i="4" s="1"/>
  <c r="I120" i="4"/>
  <c r="K120" i="4" s="1"/>
  <c r="I77" i="4"/>
  <c r="K77" i="4" s="1"/>
  <c r="I130" i="4"/>
  <c r="K130" i="4" s="1"/>
  <c r="I96" i="4"/>
  <c r="K96" i="4" s="1"/>
  <c r="I99" i="4"/>
  <c r="K99" i="4" s="1"/>
  <c r="I125" i="4"/>
  <c r="K125" i="4" s="1"/>
  <c r="I119" i="4"/>
  <c r="K119" i="4" s="1"/>
  <c r="I87" i="4"/>
  <c r="K87" i="4" s="1"/>
  <c r="I92" i="4"/>
  <c r="K92" i="4" s="1"/>
  <c r="I108" i="4"/>
  <c r="K108" i="4" s="1"/>
  <c r="I152" i="4"/>
  <c r="K152" i="4" s="1"/>
  <c r="I106" i="4"/>
  <c r="K106" i="4" s="1"/>
  <c r="I117" i="4"/>
  <c r="K117" i="4" s="1"/>
  <c r="I63" i="4"/>
  <c r="K63" i="4" s="1"/>
  <c r="I131" i="4"/>
  <c r="K131" i="4" s="1"/>
  <c r="I139" i="4"/>
  <c r="K139" i="4" s="1"/>
  <c r="I118" i="4"/>
  <c r="K118" i="4" s="1"/>
  <c r="I69" i="4"/>
  <c r="K69" i="4" s="1"/>
  <c r="I60" i="4"/>
  <c r="K60" i="4" s="1"/>
  <c r="I72" i="4"/>
  <c r="K72" i="4" s="1"/>
  <c r="I112" i="4"/>
  <c r="K112" i="4" s="1"/>
  <c r="I97" i="4"/>
  <c r="K97" i="4" s="1"/>
  <c r="I85" i="4"/>
  <c r="K85" i="4" s="1"/>
  <c r="I78" i="4"/>
  <c r="K78" i="4" s="1"/>
  <c r="I132" i="4"/>
  <c r="K132" i="4" s="1"/>
  <c r="I61" i="4"/>
  <c r="K61" i="4" s="1"/>
  <c r="I111" i="4"/>
  <c r="K111" i="4" s="1"/>
  <c r="I103" i="4"/>
  <c r="K103" i="4" s="1"/>
  <c r="I67" i="4"/>
  <c r="K67" i="4" s="1"/>
  <c r="I126" i="4"/>
  <c r="K126" i="4" s="1"/>
  <c r="I150" i="4"/>
  <c r="K150" i="4" s="1"/>
  <c r="I151" i="4"/>
  <c r="K151" i="4" s="1"/>
  <c r="I95" i="4"/>
  <c r="K95" i="4" s="1"/>
  <c r="I65" i="4"/>
  <c r="K65" i="4" s="1"/>
  <c r="I153" i="4"/>
  <c r="K153" i="4" s="1"/>
  <c r="I73" i="4"/>
  <c r="K73" i="4" s="1"/>
  <c r="I155" i="4"/>
  <c r="K155" i="4" s="1"/>
  <c r="I107" i="4"/>
  <c r="K107" i="4" s="1"/>
  <c r="I134" i="4"/>
  <c r="K134" i="4" s="1"/>
  <c r="I113" i="4"/>
  <c r="K113" i="4" s="1"/>
  <c r="I70" i="4"/>
  <c r="K70" i="4" s="1"/>
  <c r="I133" i="4"/>
  <c r="K133" i="4" s="1"/>
  <c r="I64" i="4"/>
  <c r="K64" i="4" s="1"/>
  <c r="I144" i="4"/>
  <c r="K144" i="4" s="1"/>
  <c r="I90" i="4"/>
  <c r="K90" i="4" s="1"/>
  <c r="I146" i="4"/>
  <c r="K146" i="4" s="1"/>
  <c r="I101" i="4"/>
  <c r="K101" i="4" s="1"/>
  <c r="I81" i="4"/>
  <c r="K81" i="4" s="1"/>
  <c r="I138" i="4"/>
  <c r="K138" i="4" s="1"/>
  <c r="I127" i="4"/>
  <c r="K127" i="4" s="1"/>
  <c r="I84" i="4"/>
  <c r="K84" i="4" s="1"/>
  <c r="I62" i="4"/>
  <c r="K62" i="4" s="1"/>
  <c r="I98" i="4"/>
  <c r="K98" i="4" s="1"/>
  <c r="I142" i="4"/>
  <c r="K142" i="4" s="1"/>
  <c r="I148" i="4"/>
  <c r="K148" i="4" s="1"/>
  <c r="I94" i="4"/>
  <c r="K94" i="4" s="1"/>
  <c r="I128" i="4"/>
  <c r="K128" i="4" s="1"/>
  <c r="I140" i="4"/>
  <c r="K140" i="4" s="1"/>
  <c r="I100" i="4"/>
  <c r="K100" i="4" s="1"/>
  <c r="I129" i="4"/>
  <c r="K129" i="4" s="1"/>
  <c r="I121" i="4"/>
  <c r="K121" i="4" s="1"/>
  <c r="I154" i="4"/>
  <c r="K154" i="4" s="1"/>
  <c r="I157" i="4"/>
  <c r="K157" i="4" s="1"/>
  <c r="I88" i="4"/>
  <c r="K88" i="4" s="1"/>
  <c r="I136" i="4"/>
  <c r="K136" i="4" s="1"/>
  <c r="I75" i="4"/>
  <c r="K75" i="4" s="1"/>
  <c r="I124" i="4"/>
  <c r="K124" i="4" s="1"/>
  <c r="I66" i="4"/>
  <c r="K66" i="4" s="1"/>
  <c r="I80" i="4"/>
  <c r="K80" i="4" s="1"/>
  <c r="I143" i="4"/>
  <c r="K143" i="4" s="1"/>
  <c r="I83" i="4"/>
  <c r="K83" i="4" s="1"/>
  <c r="I110" i="4"/>
  <c r="K110" i="4" s="1"/>
  <c r="I115" i="4"/>
  <c r="K115" i="4" s="1"/>
  <c r="I141" i="4"/>
  <c r="K141" i="4" s="1"/>
  <c r="I74" i="4"/>
  <c r="K74" i="4" s="1"/>
  <c r="I145" i="4"/>
  <c r="K145" i="4" s="1"/>
  <c r="I91" i="4"/>
  <c r="K91" i="4" s="1"/>
  <c r="I123" i="4"/>
  <c r="K123" i="4" s="1"/>
  <c r="I59" i="4"/>
  <c r="K59" i="4" s="1"/>
  <c r="I82" i="4"/>
  <c r="K82" i="4" s="1"/>
  <c r="I109" i="4"/>
  <c r="K109" i="4" s="1"/>
  <c r="I104" i="4"/>
  <c r="K104" i="4" s="1"/>
  <c r="I114" i="4"/>
  <c r="K114" i="4" s="1"/>
  <c r="I68" i="4"/>
  <c r="K68" i="4" s="1"/>
  <c r="I89" i="4"/>
  <c r="K89" i="4" s="1"/>
  <c r="I76" i="4"/>
  <c r="K76" i="4" s="1"/>
  <c r="I102" i="4"/>
  <c r="K102" i="4" s="1"/>
  <c r="I86" i="4"/>
  <c r="K86" i="4" s="1"/>
  <c r="I105" i="4"/>
  <c r="K105" i="4" s="1"/>
  <c r="I149" i="4"/>
  <c r="K149" i="4" s="1"/>
  <c r="I122" i="4"/>
  <c r="K122" i="4" s="1"/>
  <c r="I71" i="4"/>
  <c r="K71" i="4" s="1"/>
  <c r="I137" i="4"/>
  <c r="K137" i="4" s="1"/>
  <c r="I147" i="4"/>
  <c r="K147" i="4" s="1"/>
  <c r="I116" i="4"/>
  <c r="K116" i="4" s="1"/>
  <c r="I135" i="4"/>
  <c r="K135" i="4" s="1"/>
  <c r="I93" i="4"/>
  <c r="K93" i="4" s="1"/>
  <c r="L2" i="3"/>
  <c r="J2" i="3"/>
  <c r="H2" i="3"/>
  <c r="O2" i="4" l="1"/>
</calcChain>
</file>

<file path=xl/sharedStrings.xml><?xml version="1.0" encoding="utf-8"?>
<sst xmlns="http://schemas.openxmlformats.org/spreadsheetml/2006/main" count="1005" uniqueCount="365">
  <si>
    <t>TD 3 : Relation non linéaire entre deux variables quantitatives</t>
  </si>
  <si>
    <t>Statistique L2S1</t>
  </si>
  <si>
    <t>Université Paris 1 - Panthéon Sorbonne</t>
  </si>
  <si>
    <t>DONNÉES</t>
  </si>
  <si>
    <t>Sur la feuille DATA nous disposons des données de santé pour les États du monde (156 États, la plupart des micro-États ont été supprimés)</t>
  </si>
  <si>
    <t>Variables :</t>
  </si>
  <si>
    <t>HEALEXP2008</t>
  </si>
  <si>
    <t>[Health Expanditure] Dépense de santé / personne, US$, année 2008. Total des dépenses publiques et privées de santé divisé par le nombre d'habitants</t>
  </si>
  <si>
    <t>LEB_T2008</t>
  </si>
  <si>
    <t>[Life Expectancy at Birth] Espérance de vie à la naissance en 2008</t>
  </si>
  <si>
    <t>Source :</t>
  </si>
  <si>
    <t>The World Bank Database</t>
  </si>
  <si>
    <t>http://data.worldbank.org</t>
  </si>
  <si>
    <t>QUESTION</t>
  </si>
  <si>
    <t>On cherche à savoir s'il y a une relation entre la dépense de santé et l'espérance de vie dans les États du monde</t>
  </si>
  <si>
    <t>EXERCICES</t>
  </si>
  <si>
    <t>Exercice 1</t>
  </si>
  <si>
    <t>Faire le nuage de points mettant en relation les dépenses de santé et l'espérance de vie</t>
  </si>
  <si>
    <t>Faire attention à l'hypothèse sous-jacente : quelle est la variable explicative (x) et quelle est la variable à expliquer (y)</t>
  </si>
  <si>
    <t>Quelle est la forme de ce nuage, comment l'interpréter ?</t>
  </si>
  <si>
    <t>Exercice 2</t>
  </si>
  <si>
    <t>Calculer le coefficient de corrélation de Pearson sur cette relation</t>
  </si>
  <si>
    <t>Le coefficient de Pearson est-il fort/faible, comment interpréter ce résultat ?</t>
  </si>
  <si>
    <t>Exercice 3</t>
  </si>
  <si>
    <t>Créer deux nouvelles variables, les nommer "rang_HEALEXP08" et "rang_LEB08" et les calculer</t>
  </si>
  <si>
    <t>Ce sont des variables de rang, c'est-à-dire le rang de chaque pays dans un classement en ordre croissant pour les deux variables HEALEXP2008 et LEB_T2008</t>
  </si>
  <si>
    <t>Faire le nuage de points mettant en relation ces deux nouvelles variables de rang</t>
  </si>
  <si>
    <t>Calculer le coefficient de corrélation de Pearson sur ces deux variables</t>
  </si>
  <si>
    <t>Calculer la différence entre les deux variables de rang. Comment interpréter cette nouvelle variable ? Quels pays met-elle en évidence ?</t>
  </si>
  <si>
    <t>Conclusion</t>
  </si>
  <si>
    <t>Que peut-on dire de la relation entre dépense de santé et espérance de vie à la naissance ?</t>
  </si>
  <si>
    <t>A quoi sert la méthode des rangs ?</t>
  </si>
  <si>
    <t>Cartographie</t>
  </si>
  <si>
    <t>Importer les résultats sous Magrit et faire les cartes pertinentes pour éclairer la relation entre dépense de santé et espérance de vie</t>
  </si>
  <si>
    <t>CODE</t>
  </si>
  <si>
    <t>NAME</t>
  </si>
  <si>
    <t>HEALEXP2000</t>
  </si>
  <si>
    <t>LEB_T2000</t>
  </si>
  <si>
    <t>GUY</t>
  </si>
  <si>
    <t>Guyana</t>
  </si>
  <si>
    <t>SUR</t>
  </si>
  <si>
    <t>Suriname</t>
  </si>
  <si>
    <t>VEN</t>
  </si>
  <si>
    <t>Venezuela</t>
  </si>
  <si>
    <t>ARG</t>
  </si>
  <si>
    <t>Argentina</t>
  </si>
  <si>
    <t>BOL</t>
  </si>
  <si>
    <t>Bolivia</t>
  </si>
  <si>
    <t>BRA</t>
  </si>
  <si>
    <t>Brazil</t>
  </si>
  <si>
    <t>CHL</t>
  </si>
  <si>
    <t>Chile</t>
  </si>
  <si>
    <t>ECU</t>
  </si>
  <si>
    <t>Ecuador</t>
  </si>
  <si>
    <t>PRY</t>
  </si>
  <si>
    <t>Paraguay</t>
  </si>
  <si>
    <t>PER</t>
  </si>
  <si>
    <t>Peru</t>
  </si>
  <si>
    <t>URY</t>
  </si>
  <si>
    <t>Uruguay</t>
  </si>
  <si>
    <t>CAN</t>
  </si>
  <si>
    <t>Canada</t>
  </si>
  <si>
    <t>GTM</t>
  </si>
  <si>
    <t>Guatemala</t>
  </si>
  <si>
    <t>MEX</t>
  </si>
  <si>
    <t>Mexico</t>
  </si>
  <si>
    <t>DOM</t>
  </si>
  <si>
    <t>Dominican Republic</t>
  </si>
  <si>
    <t>HTI</t>
  </si>
  <si>
    <t>Haiti</t>
  </si>
  <si>
    <t>JAM</t>
  </si>
  <si>
    <t>Jamaica</t>
  </si>
  <si>
    <t>COL</t>
  </si>
  <si>
    <t>Colombia</t>
  </si>
  <si>
    <t>CRI</t>
  </si>
  <si>
    <t>Costa Rica</t>
  </si>
  <si>
    <t>CUB</t>
  </si>
  <si>
    <t>Cuba</t>
  </si>
  <si>
    <t>SLV</t>
  </si>
  <si>
    <t>El Salvador</t>
  </si>
  <si>
    <t>HND</t>
  </si>
  <si>
    <t>Honduras</t>
  </si>
  <si>
    <t>NIC</t>
  </si>
  <si>
    <t>Nicaragua</t>
  </si>
  <si>
    <t>PAN</t>
  </si>
  <si>
    <t>Panama</t>
  </si>
  <si>
    <t>ISL</t>
  </si>
  <si>
    <t>Iceland</t>
  </si>
  <si>
    <t>IRL</t>
  </si>
  <si>
    <t>Ireland</t>
  </si>
  <si>
    <t>GBR</t>
  </si>
  <si>
    <t>United Kingdom</t>
  </si>
  <si>
    <t>CPV</t>
  </si>
  <si>
    <t>Cape Verde</t>
  </si>
  <si>
    <t>CIV</t>
  </si>
  <si>
    <t>Cote d'Ivoire</t>
  </si>
  <si>
    <t>GHA</t>
  </si>
  <si>
    <t>Ghana</t>
  </si>
  <si>
    <t>LBR</t>
  </si>
  <si>
    <t>Liberia</t>
  </si>
  <si>
    <t>MAR</t>
  </si>
  <si>
    <t>Morocco</t>
  </si>
  <si>
    <t>PRT</t>
  </si>
  <si>
    <t>Portugal</t>
  </si>
  <si>
    <t>ESP</t>
  </si>
  <si>
    <t>Spain</t>
  </si>
  <si>
    <t>BFA</t>
  </si>
  <si>
    <t>Burkina Faso</t>
  </si>
  <si>
    <t>GIN</t>
  </si>
  <si>
    <t>Guinea</t>
  </si>
  <si>
    <t>GNB</t>
  </si>
  <si>
    <t>Guinea-Bissau</t>
  </si>
  <si>
    <t>MLI</t>
  </si>
  <si>
    <t>Mali</t>
  </si>
  <si>
    <t>MRT</t>
  </si>
  <si>
    <t>Mauritania</t>
  </si>
  <si>
    <t>SEN</t>
  </si>
  <si>
    <t>Senegal</t>
  </si>
  <si>
    <t>SLE</t>
  </si>
  <si>
    <t>Sierra Leone</t>
  </si>
  <si>
    <t>GMB</t>
  </si>
  <si>
    <t>The Gambia</t>
  </si>
  <si>
    <t>DJI</t>
  </si>
  <si>
    <t>Djibouti</t>
  </si>
  <si>
    <t>ERI</t>
  </si>
  <si>
    <t>Eritrea</t>
  </si>
  <si>
    <t>ETH</t>
  </si>
  <si>
    <t>Ethiopia</t>
  </si>
  <si>
    <t>MNG</t>
  </si>
  <si>
    <t>Mongolia</t>
  </si>
  <si>
    <t>SDN</t>
  </si>
  <si>
    <t>Sudan</t>
  </si>
  <si>
    <t>UGA</t>
  </si>
  <si>
    <t>Uganda</t>
  </si>
  <si>
    <t>IRQ</t>
  </si>
  <si>
    <t>Iraq</t>
  </si>
  <si>
    <t>ISR</t>
  </si>
  <si>
    <t>Israel</t>
  </si>
  <si>
    <t>JOR</t>
  </si>
  <si>
    <t>Jordan</t>
  </si>
  <si>
    <t>KAZ</t>
  </si>
  <si>
    <t>Kazakhstan</t>
  </si>
  <si>
    <t>NOR</t>
  </si>
  <si>
    <t>Norway</t>
  </si>
  <si>
    <t>RUS</t>
  </si>
  <si>
    <t>Russia</t>
  </si>
  <si>
    <t>SWE</t>
  </si>
  <si>
    <t>Sweden</t>
  </si>
  <si>
    <t>DZA</t>
  </si>
  <si>
    <t>Algeria</t>
  </si>
  <si>
    <t>AND</t>
  </si>
  <si>
    <t>Andorra</t>
  </si>
  <si>
    <t>CMR</t>
  </si>
  <si>
    <t>Cameroon</t>
  </si>
  <si>
    <t>CAF</t>
  </si>
  <si>
    <t>Central African Republic</t>
  </si>
  <si>
    <t>LBY</t>
  </si>
  <si>
    <t>Libya</t>
  </si>
  <si>
    <t>TUN</t>
  </si>
  <si>
    <t>Tunisia</t>
  </si>
  <si>
    <t>BEN</t>
  </si>
  <si>
    <t>Benin</t>
  </si>
  <si>
    <t>TCD</t>
  </si>
  <si>
    <t>Chad</t>
  </si>
  <si>
    <t>GNQ</t>
  </si>
  <si>
    <t>Equatorial Guinea</t>
  </si>
  <si>
    <t>NER</t>
  </si>
  <si>
    <t>Niger</t>
  </si>
  <si>
    <t>NGA</t>
  </si>
  <si>
    <t>Nigeria</t>
  </si>
  <si>
    <t>BIH</t>
  </si>
  <si>
    <t>Bosnia &amp; Herzegovina</t>
  </si>
  <si>
    <t>HRV</t>
  </si>
  <si>
    <t>Croatia</t>
  </si>
  <si>
    <t>ITA</t>
  </si>
  <si>
    <t>Italy</t>
  </si>
  <si>
    <t>MKD</t>
  </si>
  <si>
    <t>Macedonia</t>
  </si>
  <si>
    <t>MLT</t>
  </si>
  <si>
    <t>Malta</t>
  </si>
  <si>
    <t>BGR</t>
  </si>
  <si>
    <t>Bulgaria</t>
  </si>
  <si>
    <t>CYP</t>
  </si>
  <si>
    <t>Cyprus</t>
  </si>
  <si>
    <t>EGY</t>
  </si>
  <si>
    <t>Egypt</t>
  </si>
  <si>
    <t>GEO</t>
  </si>
  <si>
    <t>Georgia</t>
  </si>
  <si>
    <t>GRC</t>
  </si>
  <si>
    <t>Greece</t>
  </si>
  <si>
    <t>LBN</t>
  </si>
  <si>
    <t>Lebanon</t>
  </si>
  <si>
    <t>SYR</t>
  </si>
  <si>
    <t>Syria</t>
  </si>
  <si>
    <t>TUR</t>
  </si>
  <si>
    <t>Turkey</t>
  </si>
  <si>
    <t>AUT</t>
  </si>
  <si>
    <t>Austria</t>
  </si>
  <si>
    <t>CZE</t>
  </si>
  <si>
    <t>Czech Republic</t>
  </si>
  <si>
    <t>DNK</t>
  </si>
  <si>
    <t>Denmark</t>
  </si>
  <si>
    <t>HUN</t>
  </si>
  <si>
    <t>Hungary</t>
  </si>
  <si>
    <t>POL</t>
  </si>
  <si>
    <t>Poland</t>
  </si>
  <si>
    <t>SVK</t>
  </si>
  <si>
    <t>Slovakia</t>
  </si>
  <si>
    <t>SVN</t>
  </si>
  <si>
    <t>Slovenia</t>
  </si>
  <si>
    <t>BEL</t>
  </si>
  <si>
    <t>Belgium</t>
  </si>
  <si>
    <t>FRA</t>
  </si>
  <si>
    <t>France</t>
  </si>
  <si>
    <t>DEU</t>
  </si>
  <si>
    <t>Germany</t>
  </si>
  <si>
    <t>LUX</t>
  </si>
  <si>
    <t>Luxembourg</t>
  </si>
  <si>
    <t>CHE</t>
  </si>
  <si>
    <t>Switzerland</t>
  </si>
  <si>
    <t>USA</t>
  </si>
  <si>
    <t>United States</t>
  </si>
  <si>
    <t>BLR</t>
  </si>
  <si>
    <t>Belarus</t>
  </si>
  <si>
    <t>EST</t>
  </si>
  <si>
    <t>Estonia</t>
  </si>
  <si>
    <t>FIN</t>
  </si>
  <si>
    <t>Finland</t>
  </si>
  <si>
    <t>LVA</t>
  </si>
  <si>
    <t>Latvia</t>
  </si>
  <si>
    <t>LTU</t>
  </si>
  <si>
    <t>Lithuania</t>
  </si>
  <si>
    <t>MDA</t>
  </si>
  <si>
    <t>Moldova</t>
  </si>
  <si>
    <t>ROU</t>
  </si>
  <si>
    <t>Romania</t>
  </si>
  <si>
    <t>UKR</t>
  </si>
  <si>
    <t>Ukraine</t>
  </si>
  <si>
    <t>IND</t>
  </si>
  <si>
    <t>India</t>
  </si>
  <si>
    <t>MDV</t>
  </si>
  <si>
    <t>Maldives</t>
  </si>
  <si>
    <t>OMN</t>
  </si>
  <si>
    <t>Oman</t>
  </si>
  <si>
    <t>LKA</t>
  </si>
  <si>
    <t>Sri Lanka</t>
  </si>
  <si>
    <t>TKM</t>
  </si>
  <si>
    <t>Turkmenistan</t>
  </si>
  <si>
    <t>UZB</t>
  </si>
  <si>
    <t>Uzbekistan</t>
  </si>
  <si>
    <t>YEM</t>
  </si>
  <si>
    <t>Yemen</t>
  </si>
  <si>
    <t>ARM</t>
  </si>
  <si>
    <t>Armenia</t>
  </si>
  <si>
    <t>AZE</t>
  </si>
  <si>
    <t>Azerbaijan</t>
  </si>
  <si>
    <t>BHR</t>
  </si>
  <si>
    <t>Bahrain</t>
  </si>
  <si>
    <t>IRN</t>
  </si>
  <si>
    <t>Iran</t>
  </si>
  <si>
    <t>KWT</t>
  </si>
  <si>
    <t>Kuwait</t>
  </si>
  <si>
    <t>QAT</t>
  </si>
  <si>
    <t>Qatar</t>
  </si>
  <si>
    <t>SAU</t>
  </si>
  <si>
    <t>Saudi Arabia</t>
  </si>
  <si>
    <t>ARE</t>
  </si>
  <si>
    <t>United Arab Emirates</t>
  </si>
  <si>
    <t>AFG</t>
  </si>
  <si>
    <t>Afghanistan</t>
  </si>
  <si>
    <t>KGZ</t>
  </si>
  <si>
    <t>Kyrgyzstan</t>
  </si>
  <si>
    <t>NPL</t>
  </si>
  <si>
    <t>Nepal</t>
  </si>
  <si>
    <t>PAK</t>
  </si>
  <si>
    <t>Pakistan</t>
  </si>
  <si>
    <t>TJK</t>
  </si>
  <si>
    <t>Tajikistan</t>
  </si>
  <si>
    <t>BGD</t>
  </si>
  <si>
    <t>Bangladesh</t>
  </si>
  <si>
    <t>BTN</t>
  </si>
  <si>
    <t>Bhutan</t>
  </si>
  <si>
    <t>BRN</t>
  </si>
  <si>
    <t>Brunei</t>
  </si>
  <si>
    <t>CHN</t>
  </si>
  <si>
    <t>China</t>
  </si>
  <si>
    <t>JPN</t>
  </si>
  <si>
    <t>Japan</t>
  </si>
  <si>
    <t>PHL</t>
  </si>
  <si>
    <t>Philippines</t>
  </si>
  <si>
    <t>KOR</t>
  </si>
  <si>
    <t>South Korea</t>
  </si>
  <si>
    <t>KHM</t>
  </si>
  <si>
    <t>Cambodia</t>
  </si>
  <si>
    <t>LAO</t>
  </si>
  <si>
    <t>Laos</t>
  </si>
  <si>
    <t>MYS</t>
  </si>
  <si>
    <t>Malaysia</t>
  </si>
  <si>
    <t>MMR</t>
  </si>
  <si>
    <t>Myanmar</t>
  </si>
  <si>
    <t>SGP</t>
  </si>
  <si>
    <t>Singapore</t>
  </si>
  <si>
    <t>THA</t>
  </si>
  <si>
    <t>Thailand</t>
  </si>
  <si>
    <t>VNM</t>
  </si>
  <si>
    <t>Vietnam</t>
  </si>
  <si>
    <t>BWA</t>
  </si>
  <si>
    <t>Botswana</t>
  </si>
  <si>
    <t>KEN</t>
  </si>
  <si>
    <t>Kenya</t>
  </si>
  <si>
    <t>RWA</t>
  </si>
  <si>
    <t>Rwanda</t>
  </si>
  <si>
    <t>TZA</t>
  </si>
  <si>
    <t>Tanzania</t>
  </si>
  <si>
    <t>ZMB</t>
  </si>
  <si>
    <t>Zambia</t>
  </si>
  <si>
    <t>LSO</t>
  </si>
  <si>
    <t>Lesotho</t>
  </si>
  <si>
    <t>MWI</t>
  </si>
  <si>
    <t>Malawi</t>
  </si>
  <si>
    <t>MOZ</t>
  </si>
  <si>
    <t>Mozambique</t>
  </si>
  <si>
    <t>ZAF</t>
  </si>
  <si>
    <t>South Africa</t>
  </si>
  <si>
    <t>SWZ</t>
  </si>
  <si>
    <t>Swaziland</t>
  </si>
  <si>
    <t>AGO</t>
  </si>
  <si>
    <t>Angola</t>
  </si>
  <si>
    <t>COG</t>
  </si>
  <si>
    <t>Congo</t>
  </si>
  <si>
    <t>COD</t>
  </si>
  <si>
    <t>Congo, DRC</t>
  </si>
  <si>
    <t>GAB</t>
  </si>
  <si>
    <t>Gabon</t>
  </si>
  <si>
    <t>NAM</t>
  </si>
  <si>
    <t>Namibia</t>
  </si>
  <si>
    <t>NZL</t>
  </si>
  <si>
    <t>New Zealand</t>
  </si>
  <si>
    <t>MDG</t>
  </si>
  <si>
    <t>Madagascar</t>
  </si>
  <si>
    <t>IDN</t>
  </si>
  <si>
    <t>Indonesia</t>
  </si>
  <si>
    <t>AUS</t>
  </si>
  <si>
    <t>Australia</t>
  </si>
  <si>
    <t>PNG</t>
  </si>
  <si>
    <t>Papua New Guinea</t>
  </si>
  <si>
    <t>SRB</t>
  </si>
  <si>
    <t>Serbia</t>
  </si>
  <si>
    <t>NLD</t>
  </si>
  <si>
    <t>Netherlands</t>
  </si>
  <si>
    <t>Covariance de  HEALEXP2008 et  LEB_T2008</t>
  </si>
  <si>
    <t>Ecart type HEALEXP2008</t>
  </si>
  <si>
    <t>Ecart Type LEB_T2008</t>
  </si>
  <si>
    <t xml:space="preserve">Coefficient de corrélation de Pearson </t>
  </si>
  <si>
    <t>rang_HEALEXP08</t>
  </si>
  <si>
    <t>rang_LEB08</t>
  </si>
  <si>
    <t>Les dépenses sont placées sur l'axe X car on veut les comparer à leur effet supposé, qui est l'espérance de vie positionnée sur l'axe Y. On observe que le nuage de point à une allure de courbe; ce qui veut dire qu'il existe probablement un lien positif entre ces deux variables. Cependant, ce lien n'est pas linéaire, car les montants dépensés varient beaucoup d'un pays à l'autre, alors que les espérances de vie sont assez proches les unes des autres.</t>
  </si>
  <si>
    <t>On a R (2008) = 0.556. Il semble qu'il y ait une corrélation positive entre les deux variables, mais cette relation n'est pas très forte.</t>
  </si>
  <si>
    <t>Voir feuille Exercice 1</t>
  </si>
  <si>
    <t>Voir feuille Exercice 3</t>
  </si>
  <si>
    <t>DIFF_Rang</t>
  </si>
  <si>
    <t>EcartRang_Relatif</t>
  </si>
  <si>
    <t>La relation est globalement monotone croissante, mais pas strictement linéaire : le gain d'espérance de vie ralentit avec l'augmentation des dépenses.</t>
  </si>
  <si>
    <t>La méthode des rangs (Spearman) sert à comparer des variables lorsque leurs valeurs sont très différentes, même si la relation n'est pas linéaire</t>
  </si>
  <si>
    <r>
      <t xml:space="preserve">DIFF_Rang positif == </t>
    </r>
    <r>
      <rPr>
        <sz val="9.5"/>
        <color rgb="FF002060"/>
        <rFont val="Arial"/>
        <family val="2"/>
      </rPr>
      <t>pays qui dépense beaucoup pour la santé, mais son espérance de vie n'est pas aussi élevée que d'autres. On peut penser que ces pays ne sont pas très efficaces. Exemple :</t>
    </r>
    <r>
      <rPr>
        <b/>
        <sz val="9.5"/>
        <color rgb="FF002060"/>
        <rFont val="Arial"/>
        <family val="2"/>
      </rPr>
      <t xml:space="preserve"> Guinée Équatorial, Botswana, Afrique du Sud,….
DIFF_Rang négatif == </t>
    </r>
    <r>
      <rPr>
        <sz val="9.5"/>
        <color rgb="FF002060"/>
        <rFont val="Arial"/>
        <family val="2"/>
      </rPr>
      <t xml:space="preserve"> pays qui a une espérance de vie plus grande que ce que ses dépenses de santé laissent imaginer. Ce sont des pays efficaces. Exemple : </t>
    </r>
    <r>
      <rPr>
        <b/>
        <sz val="9.5"/>
        <color rgb="FF002060"/>
        <rFont val="Arial"/>
        <family val="2"/>
      </rPr>
      <t>Syrie, Bangladesh et Vietnam…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</si>
</sst>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0"/>
      <name val="Arial"/>
      <family val="2"/>
      <charset val="1"/>
    </font>
    <font>
      <b/>
      <sz val="24"/>
      <color rgb="FF800000"/>
      <name val="Arial"/>
      <family val="2"/>
      <charset val="1"/>
    </font>
    <font>
      <b/>
      <i/>
      <sz val="14"/>
      <color rgb="FF80000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b/>
      <i/>
      <sz val="10"/>
      <name val="Arial"/>
      <family val="2"/>
      <charset val="1"/>
    </font>
    <font>
      <sz val="10"/>
      <color rgb="FF000000"/>
      <name val="DejaVu Sans"/>
      <family val="2"/>
      <charset val="1"/>
    </font>
    <font>
      <sz val="10"/>
      <color rgb="FF000000"/>
      <name val="Arial"/>
      <family val="2"/>
      <charset val="1"/>
    </font>
    <font>
      <b/>
      <sz val="10"/>
      <name val="Arial"/>
      <family val="2"/>
    </font>
    <font>
      <b/>
      <sz val="11"/>
      <color rgb="FF0070C0"/>
      <name val="Arial"/>
      <family val="2"/>
    </font>
    <font>
      <b/>
      <sz val="11"/>
      <name val="Arial"/>
      <family val="2"/>
    </font>
    <font>
      <sz val="10"/>
      <color theme="7" tint="-0.249977111117893"/>
      <name val="Arial"/>
      <family val="2"/>
    </font>
    <font>
      <sz val="10"/>
      <color rgb="FF002060"/>
      <name val="Arial"/>
      <family val="2"/>
    </font>
    <font>
      <b/>
      <sz val="9.5"/>
      <color rgb="FF002060"/>
      <name val="Arial"/>
      <family val="2"/>
    </font>
    <font>
      <sz val="9.5"/>
      <color rgb="FF002060"/>
      <name val="Arial"/>
      <family val="2"/>
    </font>
    <font>
      <b/>
      <sz val="11"/>
      <color rgb="FF00206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7" fillId="3" borderId="2" xfId="0" applyFont="1" applyFill="1" applyBorder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164" fontId="8" fillId="10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'Exercice 1'!$F$1</c:f>
              <c:strCache>
                <c:ptCount val="1"/>
                <c:pt idx="0">
                  <c:v>LEB_T2008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1726883633643601"/>
                  <c:y val="-0.109839943217990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'Exercice 1'!$D$2:$D$157</c:f>
              <c:numCache>
                <c:formatCode>0.00</c:formatCode>
                <c:ptCount val="156"/>
                <c:pt idx="0">
                  <c:v>122.3027</c:v>
                </c:pt>
                <c:pt idx="1">
                  <c:v>422.95409999999998</c:v>
                </c:pt>
                <c:pt idx="2">
                  <c:v>596.96339999999998</c:v>
                </c:pt>
                <c:pt idx="3">
                  <c:v>695.46190000000001</c:v>
                </c:pt>
                <c:pt idx="4">
                  <c:v>74.985680000000002</c:v>
                </c:pt>
                <c:pt idx="5">
                  <c:v>720.50350000000003</c:v>
                </c:pt>
                <c:pt idx="6">
                  <c:v>761.95479999999998</c:v>
                </c:pt>
                <c:pt idx="7">
                  <c:v>215.89709999999999</c:v>
                </c:pt>
                <c:pt idx="8">
                  <c:v>161.48490000000001</c:v>
                </c:pt>
                <c:pt idx="9">
                  <c:v>200.2278</c:v>
                </c:pt>
                <c:pt idx="10">
                  <c:v>724.5634</c:v>
                </c:pt>
                <c:pt idx="11">
                  <c:v>4445.4629999999997</c:v>
                </c:pt>
                <c:pt idx="12">
                  <c:v>183.98429999999999</c:v>
                </c:pt>
                <c:pt idx="13">
                  <c:v>588.05640000000005</c:v>
                </c:pt>
                <c:pt idx="14">
                  <c:v>261.32909999999998</c:v>
                </c:pt>
                <c:pt idx="15">
                  <c:v>39.788490000000003</c:v>
                </c:pt>
                <c:pt idx="16">
                  <c:v>256.47160000000002</c:v>
                </c:pt>
                <c:pt idx="17">
                  <c:v>317.36290000000002</c:v>
                </c:pt>
                <c:pt idx="18">
                  <c:v>618.15049999999997</c:v>
                </c:pt>
                <c:pt idx="19">
                  <c:v>671.5018</c:v>
                </c:pt>
                <c:pt idx="20">
                  <c:v>216.92529999999999</c:v>
                </c:pt>
                <c:pt idx="21">
                  <c:v>120.621</c:v>
                </c:pt>
                <c:pt idx="22">
                  <c:v>105.0827</c:v>
                </c:pt>
                <c:pt idx="23">
                  <c:v>493.17070000000001</c:v>
                </c:pt>
                <c:pt idx="24">
                  <c:v>4861.53</c:v>
                </c:pt>
                <c:pt idx="25">
                  <c:v>5252.7730000000001</c:v>
                </c:pt>
                <c:pt idx="26">
                  <c:v>3771.4349999999999</c:v>
                </c:pt>
                <c:pt idx="27">
                  <c:v>152.29859999999999</c:v>
                </c:pt>
                <c:pt idx="28">
                  <c:v>60.795470000000002</c:v>
                </c:pt>
                <c:pt idx="29">
                  <c:v>55.44659</c:v>
                </c:pt>
                <c:pt idx="30">
                  <c:v>26.497959999999999</c:v>
                </c:pt>
                <c:pt idx="31">
                  <c:v>149.4796</c:v>
                </c:pt>
                <c:pt idx="32">
                  <c:v>2433.855</c:v>
                </c:pt>
                <c:pt idx="33">
                  <c:v>3132.3580000000002</c:v>
                </c:pt>
                <c:pt idx="34">
                  <c:v>37.187130000000003</c:v>
                </c:pt>
                <c:pt idx="35">
                  <c:v>21.324339999999999</c:v>
                </c:pt>
                <c:pt idx="36">
                  <c:v>17.485050000000001</c:v>
                </c:pt>
                <c:pt idx="37">
                  <c:v>38.73019</c:v>
                </c:pt>
                <c:pt idx="38">
                  <c:v>27.155159999999999</c:v>
                </c:pt>
                <c:pt idx="39">
                  <c:v>61.92859</c:v>
                </c:pt>
                <c:pt idx="40">
                  <c:v>46.860680000000002</c:v>
                </c:pt>
                <c:pt idx="41">
                  <c:v>27.094629999999999</c:v>
                </c:pt>
                <c:pt idx="42">
                  <c:v>80.048199999999994</c:v>
                </c:pt>
                <c:pt idx="43">
                  <c:v>9.6017430000000008</c:v>
                </c:pt>
                <c:pt idx="44">
                  <c:v>13.82316</c:v>
                </c:pt>
                <c:pt idx="45">
                  <c:v>73.422809999999998</c:v>
                </c:pt>
                <c:pt idx="46">
                  <c:v>96.903649999999999</c:v>
                </c:pt>
                <c:pt idx="47">
                  <c:v>43.726430000000001</c:v>
                </c:pt>
                <c:pt idx="48">
                  <c:v>108.87260000000001</c:v>
                </c:pt>
                <c:pt idx="49">
                  <c:v>2092.6729999999998</c:v>
                </c:pt>
                <c:pt idx="50">
                  <c:v>325.12450000000001</c:v>
                </c:pt>
                <c:pt idx="51">
                  <c:v>332.71460000000002</c:v>
                </c:pt>
                <c:pt idx="52">
                  <c:v>8018.8639999999996</c:v>
                </c:pt>
                <c:pt idx="53">
                  <c:v>568.10329999999999</c:v>
                </c:pt>
                <c:pt idx="54">
                  <c:v>4857.7749999999996</c:v>
                </c:pt>
                <c:pt idx="55">
                  <c:v>271.70030000000003</c:v>
                </c:pt>
                <c:pt idx="56">
                  <c:v>3330.7979999999998</c:v>
                </c:pt>
                <c:pt idx="57">
                  <c:v>65.002350000000007</c:v>
                </c:pt>
                <c:pt idx="58">
                  <c:v>19.837720000000001</c:v>
                </c:pt>
                <c:pt idx="59">
                  <c:v>458.02710000000002</c:v>
                </c:pt>
                <c:pt idx="60">
                  <c:v>248.07929999999999</c:v>
                </c:pt>
                <c:pt idx="61">
                  <c:v>32.136890000000001</c:v>
                </c:pt>
                <c:pt idx="62">
                  <c:v>49.131999999999998</c:v>
                </c:pt>
                <c:pt idx="63">
                  <c:v>544.95830000000001</c:v>
                </c:pt>
                <c:pt idx="64">
                  <c:v>21.38072</c:v>
                </c:pt>
                <c:pt idx="65">
                  <c:v>73.43777</c:v>
                </c:pt>
                <c:pt idx="66">
                  <c:v>505.745</c:v>
                </c:pt>
                <c:pt idx="67">
                  <c:v>1229.7539999999999</c:v>
                </c:pt>
                <c:pt idx="68">
                  <c:v>3342.8629999999998</c:v>
                </c:pt>
                <c:pt idx="69">
                  <c:v>328.42959999999999</c:v>
                </c:pt>
                <c:pt idx="70">
                  <c:v>1373.5060000000001</c:v>
                </c:pt>
                <c:pt idx="71">
                  <c:v>481.53309999999999</c:v>
                </c:pt>
                <c:pt idx="72">
                  <c:v>1908.6669999999999</c:v>
                </c:pt>
                <c:pt idx="73">
                  <c:v>97.263850000000005</c:v>
                </c:pt>
                <c:pt idx="74">
                  <c:v>257.99689999999998</c:v>
                </c:pt>
                <c:pt idx="75">
                  <c:v>3109.99</c:v>
                </c:pt>
                <c:pt idx="76">
                  <c:v>604.38710000000003</c:v>
                </c:pt>
                <c:pt idx="77">
                  <c:v>70.856250000000003</c:v>
                </c:pt>
                <c:pt idx="78">
                  <c:v>623.27610000000004</c:v>
                </c:pt>
                <c:pt idx="79">
                  <c:v>5200.884</c:v>
                </c:pt>
                <c:pt idx="80">
                  <c:v>1468.646</c:v>
                </c:pt>
                <c:pt idx="81">
                  <c:v>6133.3620000000001</c:v>
                </c:pt>
                <c:pt idx="82">
                  <c:v>1119.1189999999999</c:v>
                </c:pt>
                <c:pt idx="83">
                  <c:v>971.30809999999997</c:v>
                </c:pt>
                <c:pt idx="84">
                  <c:v>1395.194</c:v>
                </c:pt>
                <c:pt idx="85">
                  <c:v>2238.078</c:v>
                </c:pt>
                <c:pt idx="86">
                  <c:v>5242.5870000000004</c:v>
                </c:pt>
                <c:pt idx="87">
                  <c:v>4965.8180000000002</c:v>
                </c:pt>
                <c:pt idx="88">
                  <c:v>4720.3810000000003</c:v>
                </c:pt>
                <c:pt idx="89">
                  <c:v>7998.018</c:v>
                </c:pt>
                <c:pt idx="90">
                  <c:v>6987.6130000000003</c:v>
                </c:pt>
                <c:pt idx="91">
                  <c:v>7163.8040000000001</c:v>
                </c:pt>
                <c:pt idx="92">
                  <c:v>350.81330000000003</c:v>
                </c:pt>
                <c:pt idx="93">
                  <c:v>1073.903</c:v>
                </c:pt>
                <c:pt idx="94">
                  <c:v>4480.5290000000005</c:v>
                </c:pt>
                <c:pt idx="95">
                  <c:v>979.072</c:v>
                </c:pt>
                <c:pt idx="96">
                  <c:v>930.96029999999996</c:v>
                </c:pt>
                <c:pt idx="97">
                  <c:v>180.6523</c:v>
                </c:pt>
                <c:pt idx="98">
                  <c:v>516.78110000000004</c:v>
                </c:pt>
                <c:pt idx="99">
                  <c:v>267.97449999999998</c:v>
                </c:pt>
                <c:pt idx="100">
                  <c:v>45.272199999999998</c:v>
                </c:pt>
                <c:pt idx="101">
                  <c:v>462.06450000000001</c:v>
                </c:pt>
                <c:pt idx="102">
                  <c:v>454.0829</c:v>
                </c:pt>
                <c:pt idx="103">
                  <c:v>82.598029999999994</c:v>
                </c:pt>
                <c:pt idx="104">
                  <c:v>81.572680000000005</c:v>
                </c:pt>
                <c:pt idx="105">
                  <c:v>51.385959999999997</c:v>
                </c:pt>
                <c:pt idx="106">
                  <c:v>66.501530000000002</c:v>
                </c:pt>
                <c:pt idx="107">
                  <c:v>142.8109</c:v>
                </c:pt>
                <c:pt idx="108">
                  <c:v>239.56200000000001</c:v>
                </c:pt>
                <c:pt idx="109">
                  <c:v>1044.028</c:v>
                </c:pt>
                <c:pt idx="110">
                  <c:v>254.303</c:v>
                </c:pt>
                <c:pt idx="111">
                  <c:v>989.83050000000003</c:v>
                </c:pt>
                <c:pt idx="112">
                  <c:v>1774.9549999999999</c:v>
                </c:pt>
                <c:pt idx="113">
                  <c:v>675.9982</c:v>
                </c:pt>
                <c:pt idx="114">
                  <c:v>1426.9570000000001</c:v>
                </c:pt>
                <c:pt idx="115">
                  <c:v>47.482840000000003</c:v>
                </c:pt>
                <c:pt idx="116">
                  <c:v>54.146180000000001</c:v>
                </c:pt>
                <c:pt idx="117">
                  <c:v>24.357900000000001</c:v>
                </c:pt>
                <c:pt idx="118">
                  <c:v>21.610420000000001</c:v>
                </c:pt>
                <c:pt idx="119">
                  <c:v>37.390389999999996</c:v>
                </c:pt>
                <c:pt idx="120">
                  <c:v>16.519380000000002</c:v>
                </c:pt>
                <c:pt idx="121">
                  <c:v>100.1259</c:v>
                </c:pt>
                <c:pt idx="122">
                  <c:v>833.73620000000005</c:v>
                </c:pt>
                <c:pt idx="123">
                  <c:v>146.11330000000001</c:v>
                </c:pt>
                <c:pt idx="124">
                  <c:v>3189.7840000000001</c:v>
                </c:pt>
                <c:pt idx="125">
                  <c:v>68.025390000000002</c:v>
                </c:pt>
                <c:pt idx="126">
                  <c:v>1244.952</c:v>
                </c:pt>
                <c:pt idx="127">
                  <c:v>42.78886</c:v>
                </c:pt>
                <c:pt idx="128">
                  <c:v>33.987180000000002</c:v>
                </c:pt>
                <c:pt idx="129">
                  <c:v>353.2029</c:v>
                </c:pt>
                <c:pt idx="130">
                  <c:v>9.9595990000000008</c:v>
                </c:pt>
                <c:pt idx="131">
                  <c:v>1403.653</c:v>
                </c:pt>
                <c:pt idx="132">
                  <c:v>163.82660000000001</c:v>
                </c:pt>
                <c:pt idx="133">
                  <c:v>75.783779999999993</c:v>
                </c:pt>
                <c:pt idx="134">
                  <c:v>529.78899999999999</c:v>
                </c:pt>
                <c:pt idx="135">
                  <c:v>33.112360000000002</c:v>
                </c:pt>
                <c:pt idx="136">
                  <c:v>45.424689999999998</c:v>
                </c:pt>
                <c:pt idx="137">
                  <c:v>22.14847</c:v>
                </c:pt>
                <c:pt idx="138">
                  <c:v>68.359409999999997</c:v>
                </c:pt>
                <c:pt idx="139">
                  <c:v>60.467730000000003</c:v>
                </c:pt>
                <c:pt idx="140">
                  <c:v>17.900780000000001</c:v>
                </c:pt>
                <c:pt idx="141">
                  <c:v>20.530740000000002</c:v>
                </c:pt>
                <c:pt idx="142">
                  <c:v>458.68369999999999</c:v>
                </c:pt>
                <c:pt idx="143">
                  <c:v>141.3486</c:v>
                </c:pt>
                <c:pt idx="144">
                  <c:v>147.77590000000001</c:v>
                </c:pt>
                <c:pt idx="145">
                  <c:v>81.138630000000006</c:v>
                </c:pt>
                <c:pt idx="146">
                  <c:v>13.324450000000001</c:v>
                </c:pt>
                <c:pt idx="147">
                  <c:v>263.72370000000001</c:v>
                </c:pt>
                <c:pt idx="148">
                  <c:v>284.32940000000002</c:v>
                </c:pt>
                <c:pt idx="149">
                  <c:v>2917.2930000000001</c:v>
                </c:pt>
                <c:pt idx="150">
                  <c:v>21.734839999999998</c:v>
                </c:pt>
                <c:pt idx="151">
                  <c:v>50.852600000000002</c:v>
                </c:pt>
                <c:pt idx="152">
                  <c:v>4179.6480000000001</c:v>
                </c:pt>
                <c:pt idx="153">
                  <c:v>39.007370000000002</c:v>
                </c:pt>
                <c:pt idx="154">
                  <c:v>498.66559999999998</c:v>
                </c:pt>
                <c:pt idx="155">
                  <c:v>5242.8959999999997</c:v>
                </c:pt>
              </c:numCache>
            </c:numRef>
          </c:xVal>
          <c:yVal>
            <c:numRef>
              <c:f>'Exercice 1'!$F$2:$F$157</c:f>
              <c:numCache>
                <c:formatCode>0.00</c:formatCode>
                <c:ptCount val="156"/>
                <c:pt idx="0">
                  <c:v>68.799220000000005</c:v>
                </c:pt>
                <c:pt idx="1">
                  <c:v>69.775710000000004</c:v>
                </c:pt>
                <c:pt idx="2">
                  <c:v>73.757559999999998</c:v>
                </c:pt>
                <c:pt idx="3">
                  <c:v>75.292529999999999</c:v>
                </c:pt>
                <c:pt idx="4">
                  <c:v>65.658100000000005</c:v>
                </c:pt>
                <c:pt idx="5">
                  <c:v>72.427099999999996</c:v>
                </c:pt>
                <c:pt idx="6">
                  <c:v>78.647220000000004</c:v>
                </c:pt>
                <c:pt idx="7">
                  <c:v>75.150589999999994</c:v>
                </c:pt>
                <c:pt idx="8">
                  <c:v>71.861710000000002</c:v>
                </c:pt>
                <c:pt idx="9">
                  <c:v>73.305710000000005</c:v>
                </c:pt>
                <c:pt idx="10">
                  <c:v>75.980729999999994</c:v>
                </c:pt>
                <c:pt idx="11">
                  <c:v>80.964870000000005</c:v>
                </c:pt>
                <c:pt idx="12">
                  <c:v>70.352339999999998</c:v>
                </c:pt>
                <c:pt idx="13">
                  <c:v>76.236339999999998</c:v>
                </c:pt>
                <c:pt idx="14">
                  <c:v>72.728949999999998</c:v>
                </c:pt>
                <c:pt idx="15">
                  <c:v>61.074779999999997</c:v>
                </c:pt>
                <c:pt idx="16">
                  <c:v>72.32302</c:v>
                </c:pt>
                <c:pt idx="17">
                  <c:v>72.984340000000003</c:v>
                </c:pt>
                <c:pt idx="18">
                  <c:v>78.946269999999998</c:v>
                </c:pt>
                <c:pt idx="19">
                  <c:v>78.547420000000002</c:v>
                </c:pt>
                <c:pt idx="20">
                  <c:v>71.310869999999994</c:v>
                </c:pt>
                <c:pt idx="21">
                  <c:v>72.240970000000004</c:v>
                </c:pt>
                <c:pt idx="22">
                  <c:v>73.110799999999998</c:v>
                </c:pt>
                <c:pt idx="23">
                  <c:v>75.629320000000007</c:v>
                </c:pt>
                <c:pt idx="24">
                  <c:v>81.258539999999996</c:v>
                </c:pt>
                <c:pt idx="25">
                  <c:v>79.141459999999995</c:v>
                </c:pt>
                <c:pt idx="26">
                  <c:v>79.599999999999994</c:v>
                </c:pt>
                <c:pt idx="27">
                  <c:v>73.336200000000005</c:v>
                </c:pt>
                <c:pt idx="28">
                  <c:v>53.37771</c:v>
                </c:pt>
                <c:pt idx="29">
                  <c:v>62.873510000000003</c:v>
                </c:pt>
                <c:pt idx="30">
                  <c:v>54.727629999999998</c:v>
                </c:pt>
                <c:pt idx="31">
                  <c:v>71.307749999999999</c:v>
                </c:pt>
                <c:pt idx="32">
                  <c:v>78.524389999999997</c:v>
                </c:pt>
                <c:pt idx="33">
                  <c:v>81.175610000000006</c:v>
                </c:pt>
                <c:pt idx="34">
                  <c:v>53.982489999999999</c:v>
                </c:pt>
                <c:pt idx="35">
                  <c:v>52.687240000000003</c:v>
                </c:pt>
                <c:pt idx="36">
                  <c:v>46.959269999999997</c:v>
                </c:pt>
                <c:pt idx="37">
                  <c:v>50.120190000000001</c:v>
                </c:pt>
                <c:pt idx="38">
                  <c:v>57.668239999999997</c:v>
                </c:pt>
                <c:pt idx="39">
                  <c:v>58.309359999999998</c:v>
                </c:pt>
                <c:pt idx="40">
                  <c:v>46.425269999999998</c:v>
                </c:pt>
                <c:pt idx="41">
                  <c:v>57.524239999999999</c:v>
                </c:pt>
                <c:pt idx="42">
                  <c:v>56.755099999999999</c:v>
                </c:pt>
                <c:pt idx="43">
                  <c:v>60.105269999999997</c:v>
                </c:pt>
                <c:pt idx="44">
                  <c:v>57.450780000000002</c:v>
                </c:pt>
                <c:pt idx="45">
                  <c:v>67.486239999999995</c:v>
                </c:pt>
                <c:pt idx="46">
                  <c:v>60.477930000000001</c:v>
                </c:pt>
                <c:pt idx="47">
                  <c:v>52.439979999999998</c:v>
                </c:pt>
                <c:pt idx="48">
                  <c:v>67.871120000000005</c:v>
                </c:pt>
                <c:pt idx="49">
                  <c:v>81.002440000000007</c:v>
                </c:pt>
                <c:pt idx="50">
                  <c:v>73.016220000000004</c:v>
                </c:pt>
                <c:pt idx="51">
                  <c:v>67.021950000000004</c:v>
                </c:pt>
                <c:pt idx="52">
                  <c:v>80.592680000000001</c:v>
                </c:pt>
                <c:pt idx="53">
                  <c:v>67.848780000000005</c:v>
                </c:pt>
                <c:pt idx="54">
                  <c:v>81.099999999999994</c:v>
                </c:pt>
                <c:pt idx="55">
                  <c:v>72.389049999999997</c:v>
                </c:pt>
                <c:pt idx="57">
                  <c:v>50.160899999999998</c:v>
                </c:pt>
                <c:pt idx="58">
                  <c:v>46.163240000000002</c:v>
                </c:pt>
                <c:pt idx="59">
                  <c:v>74.328999999999994</c:v>
                </c:pt>
                <c:pt idx="60">
                  <c:v>74.302440000000004</c:v>
                </c:pt>
                <c:pt idx="61">
                  <c:v>54.787320000000001</c:v>
                </c:pt>
                <c:pt idx="62">
                  <c:v>48.60575</c:v>
                </c:pt>
                <c:pt idx="63">
                  <c:v>50.247219999999999</c:v>
                </c:pt>
                <c:pt idx="64">
                  <c:v>53.334490000000002</c:v>
                </c:pt>
                <c:pt idx="65">
                  <c:v>50.479730000000004</c:v>
                </c:pt>
                <c:pt idx="66">
                  <c:v>75.106319999999997</c:v>
                </c:pt>
                <c:pt idx="67">
                  <c:v>75.912189999999995</c:v>
                </c:pt>
                <c:pt idx="68">
                  <c:v>81.385369999999995</c:v>
                </c:pt>
                <c:pt idx="69">
                  <c:v>74.267120000000006</c:v>
                </c:pt>
                <c:pt idx="70">
                  <c:v>79.431709999999995</c:v>
                </c:pt>
                <c:pt idx="71">
                  <c:v>72.963419999999999</c:v>
                </c:pt>
                <c:pt idx="72">
                  <c:v>79.021460000000005</c:v>
                </c:pt>
                <c:pt idx="73">
                  <c:v>72.475440000000006</c:v>
                </c:pt>
                <c:pt idx="74">
                  <c:v>72.984629999999996</c:v>
                </c:pt>
                <c:pt idx="75">
                  <c:v>79.939030000000002</c:v>
                </c:pt>
                <c:pt idx="76">
                  <c:v>72.047319999999999</c:v>
                </c:pt>
                <c:pt idx="77">
                  <c:v>75.412610000000001</c:v>
                </c:pt>
                <c:pt idx="78">
                  <c:v>73.129630000000006</c:v>
                </c:pt>
                <c:pt idx="79">
                  <c:v>80.23415</c:v>
                </c:pt>
                <c:pt idx="80">
                  <c:v>76.975610000000003</c:v>
                </c:pt>
                <c:pt idx="81">
                  <c:v>78.446340000000006</c:v>
                </c:pt>
                <c:pt idx="82">
                  <c:v>73.702439999999996</c:v>
                </c:pt>
                <c:pt idx="83">
                  <c:v>75.543899999999994</c:v>
                </c:pt>
                <c:pt idx="84">
                  <c:v>74.704880000000003</c:v>
                </c:pt>
                <c:pt idx="85">
                  <c:v>78.76585</c:v>
                </c:pt>
                <c:pt idx="86">
                  <c:v>79.482929999999996</c:v>
                </c:pt>
                <c:pt idx="87">
                  <c:v>80.868290000000002</c:v>
                </c:pt>
                <c:pt idx="88">
                  <c:v>79.736590000000007</c:v>
                </c:pt>
                <c:pt idx="89">
                  <c:v>80.087810000000005</c:v>
                </c:pt>
                <c:pt idx="90">
                  <c:v>81.992679999999993</c:v>
                </c:pt>
                <c:pt idx="91">
                  <c:v>77.939030000000002</c:v>
                </c:pt>
                <c:pt idx="92">
                  <c:v>70.456100000000006</c:v>
                </c:pt>
                <c:pt idx="93">
                  <c:v>73.77073</c:v>
                </c:pt>
                <c:pt idx="94">
                  <c:v>79.568290000000005</c:v>
                </c:pt>
                <c:pt idx="95">
                  <c:v>72.419510000000002</c:v>
                </c:pt>
                <c:pt idx="96">
                  <c:v>71.812190000000001</c:v>
                </c:pt>
                <c:pt idx="97">
                  <c:v>68.348659999999995</c:v>
                </c:pt>
                <c:pt idx="98">
                  <c:v>72.565860000000001</c:v>
                </c:pt>
                <c:pt idx="99">
                  <c:v>68.251459999999994</c:v>
                </c:pt>
                <c:pt idx="100">
                  <c:v>64.42295</c:v>
                </c:pt>
                <c:pt idx="101">
                  <c:v>75.811049999999994</c:v>
                </c:pt>
                <c:pt idx="102">
                  <c:v>72.998609999999999</c:v>
                </c:pt>
                <c:pt idx="103">
                  <c:v>74.433269999999993</c:v>
                </c:pt>
                <c:pt idx="104">
                  <c:v>64.675700000000006</c:v>
                </c:pt>
                <c:pt idx="105">
                  <c:v>67.566980000000001</c:v>
                </c:pt>
                <c:pt idx="106">
                  <c:v>64.139560000000003</c:v>
                </c:pt>
                <c:pt idx="107">
                  <c:v>73.495949999999993</c:v>
                </c:pt>
                <c:pt idx="108">
                  <c:v>70.067859999999996</c:v>
                </c:pt>
                <c:pt idx="109">
                  <c:v>74.758610000000004</c:v>
                </c:pt>
                <c:pt idx="110">
                  <c:v>72.219660000000005</c:v>
                </c:pt>
                <c:pt idx="111">
                  <c:v>74.378299999999996</c:v>
                </c:pt>
                <c:pt idx="112">
                  <c:v>77.774510000000006</c:v>
                </c:pt>
                <c:pt idx="113">
                  <c:v>73.402079999999998</c:v>
                </c:pt>
                <c:pt idx="114">
                  <c:v>76.221339999999998</c:v>
                </c:pt>
                <c:pt idx="115">
                  <c:v>47.538559999999997</c:v>
                </c:pt>
                <c:pt idx="116">
                  <c:v>68.451220000000006</c:v>
                </c:pt>
                <c:pt idx="117">
                  <c:v>67.527950000000004</c:v>
                </c:pt>
                <c:pt idx="118">
                  <c:v>64.721950000000007</c:v>
                </c:pt>
                <c:pt idx="119">
                  <c:v>66.65598</c:v>
                </c:pt>
                <c:pt idx="120">
                  <c:v>68.004019999999997</c:v>
                </c:pt>
                <c:pt idx="121">
                  <c:v>66.151309999999995</c:v>
                </c:pt>
                <c:pt idx="122">
                  <c:v>77.662289999999999</c:v>
                </c:pt>
                <c:pt idx="123">
                  <c:v>72.835340000000002</c:v>
                </c:pt>
                <c:pt idx="124">
                  <c:v>82.587559999999996</c:v>
                </c:pt>
                <c:pt idx="125">
                  <c:v>67.988929999999996</c:v>
                </c:pt>
                <c:pt idx="126">
                  <c:v>79.832679999999996</c:v>
                </c:pt>
                <c:pt idx="127">
                  <c:v>61.580849999999998</c:v>
                </c:pt>
                <c:pt idx="128">
                  <c:v>66.184389999999993</c:v>
                </c:pt>
                <c:pt idx="129">
                  <c:v>73.568119999999993</c:v>
                </c:pt>
                <c:pt idx="130">
                  <c:v>63.781759999999998</c:v>
                </c:pt>
                <c:pt idx="131">
                  <c:v>80.79025</c:v>
                </c:pt>
                <c:pt idx="132">
                  <c:v>73.61327</c:v>
                </c:pt>
                <c:pt idx="133">
                  <c:v>74.385459999999995</c:v>
                </c:pt>
                <c:pt idx="134">
                  <c:v>52.663679999999999</c:v>
                </c:pt>
                <c:pt idx="135">
                  <c:v>55.124220000000001</c:v>
                </c:pt>
                <c:pt idx="136">
                  <c:v>54.206200000000003</c:v>
                </c:pt>
                <c:pt idx="137">
                  <c:v>55.769440000000003</c:v>
                </c:pt>
                <c:pt idx="138">
                  <c:v>47.052439999999997</c:v>
                </c:pt>
                <c:pt idx="139">
                  <c:v>45.931559999999998</c:v>
                </c:pt>
                <c:pt idx="140">
                  <c:v>51.804729999999999</c:v>
                </c:pt>
                <c:pt idx="141">
                  <c:v>48.898389999999999</c:v>
                </c:pt>
                <c:pt idx="142">
                  <c:v>51.240220000000001</c:v>
                </c:pt>
                <c:pt idx="143">
                  <c:v>47.341929999999998</c:v>
                </c:pt>
                <c:pt idx="144">
                  <c:v>49.84742</c:v>
                </c:pt>
                <c:pt idx="145">
                  <c:v>56.15934</c:v>
                </c:pt>
                <c:pt idx="146">
                  <c:v>47.557340000000003</c:v>
                </c:pt>
                <c:pt idx="147">
                  <c:v>61.381120000000003</c:v>
                </c:pt>
                <c:pt idx="148">
                  <c:v>60.989339999999999</c:v>
                </c:pt>
                <c:pt idx="149">
                  <c:v>80.351219999999998</c:v>
                </c:pt>
                <c:pt idx="150">
                  <c:v>65.835530000000006</c:v>
                </c:pt>
                <c:pt idx="151">
                  <c:v>68.075149999999994</c:v>
                </c:pt>
                <c:pt idx="152">
                  <c:v>81.395120000000006</c:v>
                </c:pt>
                <c:pt idx="153">
                  <c:v>61.701169999999998</c:v>
                </c:pt>
                <c:pt idx="154">
                  <c:v>73.636589999999998</c:v>
                </c:pt>
                <c:pt idx="155">
                  <c:v>80.251220000000004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4A-4CC4-AF47-9BCBD044D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189439"/>
        <c:axId val="1410184159"/>
      </c:scatterChart>
      <c:valAx>
        <c:axId val="141018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0184159"/>
        <c:crosses val="autoZero"/>
        <c:crossBetween val="midCat"/>
      </c:valAx>
      <c:valAx>
        <c:axId val="1410184159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0189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'Exercice 1'!$F$1</c:f>
              <c:strCache>
                <c:ptCount val="1"/>
                <c:pt idx="0">
                  <c:v>LEB_T2008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756295314570826"/>
                  <c:y val="-0.130685161832702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'Exercice 1'!$D$2:$D$157</c:f>
              <c:numCache>
                <c:formatCode>0.00</c:formatCode>
                <c:ptCount val="156"/>
                <c:pt idx="0">
                  <c:v>122.3027</c:v>
                </c:pt>
                <c:pt idx="1">
                  <c:v>422.95409999999998</c:v>
                </c:pt>
                <c:pt idx="2">
                  <c:v>596.96339999999998</c:v>
                </c:pt>
                <c:pt idx="3">
                  <c:v>695.46190000000001</c:v>
                </c:pt>
                <c:pt idx="4">
                  <c:v>74.985680000000002</c:v>
                </c:pt>
                <c:pt idx="5">
                  <c:v>720.50350000000003</c:v>
                </c:pt>
                <c:pt idx="6">
                  <c:v>761.95479999999998</c:v>
                </c:pt>
                <c:pt idx="7">
                  <c:v>215.89709999999999</c:v>
                </c:pt>
                <c:pt idx="8">
                  <c:v>161.48490000000001</c:v>
                </c:pt>
                <c:pt idx="9">
                  <c:v>200.2278</c:v>
                </c:pt>
                <c:pt idx="10">
                  <c:v>724.5634</c:v>
                </c:pt>
                <c:pt idx="11">
                  <c:v>4445.4629999999997</c:v>
                </c:pt>
                <c:pt idx="12">
                  <c:v>183.98429999999999</c:v>
                </c:pt>
                <c:pt idx="13">
                  <c:v>588.05640000000005</c:v>
                </c:pt>
                <c:pt idx="14">
                  <c:v>261.32909999999998</c:v>
                </c:pt>
                <c:pt idx="15">
                  <c:v>39.788490000000003</c:v>
                </c:pt>
                <c:pt idx="16">
                  <c:v>256.47160000000002</c:v>
                </c:pt>
                <c:pt idx="17">
                  <c:v>317.36290000000002</c:v>
                </c:pt>
                <c:pt idx="18">
                  <c:v>618.15049999999997</c:v>
                </c:pt>
                <c:pt idx="19">
                  <c:v>671.5018</c:v>
                </c:pt>
                <c:pt idx="20">
                  <c:v>216.92529999999999</c:v>
                </c:pt>
                <c:pt idx="21">
                  <c:v>120.621</c:v>
                </c:pt>
                <c:pt idx="22">
                  <c:v>105.0827</c:v>
                </c:pt>
                <c:pt idx="23">
                  <c:v>493.17070000000001</c:v>
                </c:pt>
                <c:pt idx="24">
                  <c:v>4861.53</c:v>
                </c:pt>
                <c:pt idx="25">
                  <c:v>5252.7730000000001</c:v>
                </c:pt>
                <c:pt idx="26">
                  <c:v>3771.4349999999999</c:v>
                </c:pt>
                <c:pt idx="27">
                  <c:v>152.29859999999999</c:v>
                </c:pt>
                <c:pt idx="28">
                  <c:v>60.795470000000002</c:v>
                </c:pt>
                <c:pt idx="29">
                  <c:v>55.44659</c:v>
                </c:pt>
                <c:pt idx="30">
                  <c:v>26.497959999999999</c:v>
                </c:pt>
                <c:pt idx="31">
                  <c:v>149.4796</c:v>
                </c:pt>
                <c:pt idx="32">
                  <c:v>2433.855</c:v>
                </c:pt>
                <c:pt idx="33">
                  <c:v>3132.3580000000002</c:v>
                </c:pt>
                <c:pt idx="34">
                  <c:v>37.187130000000003</c:v>
                </c:pt>
                <c:pt idx="35">
                  <c:v>21.324339999999999</c:v>
                </c:pt>
                <c:pt idx="36">
                  <c:v>17.485050000000001</c:v>
                </c:pt>
                <c:pt idx="37">
                  <c:v>38.73019</c:v>
                </c:pt>
                <c:pt idx="38">
                  <c:v>27.155159999999999</c:v>
                </c:pt>
                <c:pt idx="39">
                  <c:v>61.92859</c:v>
                </c:pt>
                <c:pt idx="40">
                  <c:v>46.860680000000002</c:v>
                </c:pt>
                <c:pt idx="41">
                  <c:v>27.094629999999999</c:v>
                </c:pt>
                <c:pt idx="42">
                  <c:v>80.048199999999994</c:v>
                </c:pt>
                <c:pt idx="43">
                  <c:v>9.6017430000000008</c:v>
                </c:pt>
                <c:pt idx="44">
                  <c:v>13.82316</c:v>
                </c:pt>
                <c:pt idx="45">
                  <c:v>73.422809999999998</c:v>
                </c:pt>
                <c:pt idx="46">
                  <c:v>96.903649999999999</c:v>
                </c:pt>
                <c:pt idx="47">
                  <c:v>43.726430000000001</c:v>
                </c:pt>
                <c:pt idx="48">
                  <c:v>108.87260000000001</c:v>
                </c:pt>
                <c:pt idx="49">
                  <c:v>2092.6729999999998</c:v>
                </c:pt>
                <c:pt idx="50">
                  <c:v>325.12450000000001</c:v>
                </c:pt>
                <c:pt idx="51">
                  <c:v>332.71460000000002</c:v>
                </c:pt>
                <c:pt idx="52">
                  <c:v>8018.8639999999996</c:v>
                </c:pt>
                <c:pt idx="53">
                  <c:v>568.10329999999999</c:v>
                </c:pt>
                <c:pt idx="54">
                  <c:v>4857.7749999999996</c:v>
                </c:pt>
                <c:pt idx="55">
                  <c:v>271.70030000000003</c:v>
                </c:pt>
                <c:pt idx="56">
                  <c:v>3330.7979999999998</c:v>
                </c:pt>
                <c:pt idx="57">
                  <c:v>65.002350000000007</c:v>
                </c:pt>
                <c:pt idx="58">
                  <c:v>19.837720000000001</c:v>
                </c:pt>
                <c:pt idx="59">
                  <c:v>458.02710000000002</c:v>
                </c:pt>
                <c:pt idx="60">
                  <c:v>248.07929999999999</c:v>
                </c:pt>
                <c:pt idx="61">
                  <c:v>32.136890000000001</c:v>
                </c:pt>
                <c:pt idx="62">
                  <c:v>49.131999999999998</c:v>
                </c:pt>
                <c:pt idx="63">
                  <c:v>544.95830000000001</c:v>
                </c:pt>
                <c:pt idx="64">
                  <c:v>21.38072</c:v>
                </c:pt>
                <c:pt idx="65">
                  <c:v>73.43777</c:v>
                </c:pt>
                <c:pt idx="66">
                  <c:v>505.745</c:v>
                </c:pt>
                <c:pt idx="67">
                  <c:v>1229.7539999999999</c:v>
                </c:pt>
                <c:pt idx="68">
                  <c:v>3342.8629999999998</c:v>
                </c:pt>
                <c:pt idx="69">
                  <c:v>328.42959999999999</c:v>
                </c:pt>
                <c:pt idx="70">
                  <c:v>1373.5060000000001</c:v>
                </c:pt>
                <c:pt idx="71">
                  <c:v>481.53309999999999</c:v>
                </c:pt>
                <c:pt idx="72">
                  <c:v>1908.6669999999999</c:v>
                </c:pt>
                <c:pt idx="73">
                  <c:v>97.263850000000005</c:v>
                </c:pt>
                <c:pt idx="74">
                  <c:v>257.99689999999998</c:v>
                </c:pt>
                <c:pt idx="75">
                  <c:v>3109.99</c:v>
                </c:pt>
                <c:pt idx="76">
                  <c:v>604.38710000000003</c:v>
                </c:pt>
                <c:pt idx="77">
                  <c:v>70.856250000000003</c:v>
                </c:pt>
                <c:pt idx="78">
                  <c:v>623.27610000000004</c:v>
                </c:pt>
                <c:pt idx="79">
                  <c:v>5200.884</c:v>
                </c:pt>
                <c:pt idx="80">
                  <c:v>1468.646</c:v>
                </c:pt>
                <c:pt idx="81">
                  <c:v>6133.3620000000001</c:v>
                </c:pt>
                <c:pt idx="82">
                  <c:v>1119.1189999999999</c:v>
                </c:pt>
                <c:pt idx="83">
                  <c:v>971.30809999999997</c:v>
                </c:pt>
                <c:pt idx="84">
                  <c:v>1395.194</c:v>
                </c:pt>
                <c:pt idx="85">
                  <c:v>2238.078</c:v>
                </c:pt>
                <c:pt idx="86">
                  <c:v>5242.5870000000004</c:v>
                </c:pt>
                <c:pt idx="87">
                  <c:v>4965.8180000000002</c:v>
                </c:pt>
                <c:pt idx="88">
                  <c:v>4720.3810000000003</c:v>
                </c:pt>
                <c:pt idx="89">
                  <c:v>7998.018</c:v>
                </c:pt>
                <c:pt idx="90">
                  <c:v>6987.6130000000003</c:v>
                </c:pt>
                <c:pt idx="91">
                  <c:v>7163.8040000000001</c:v>
                </c:pt>
                <c:pt idx="92">
                  <c:v>350.81330000000003</c:v>
                </c:pt>
                <c:pt idx="93">
                  <c:v>1073.903</c:v>
                </c:pt>
                <c:pt idx="94">
                  <c:v>4480.5290000000005</c:v>
                </c:pt>
                <c:pt idx="95">
                  <c:v>979.072</c:v>
                </c:pt>
                <c:pt idx="96">
                  <c:v>930.96029999999996</c:v>
                </c:pt>
                <c:pt idx="97">
                  <c:v>180.6523</c:v>
                </c:pt>
                <c:pt idx="98">
                  <c:v>516.78110000000004</c:v>
                </c:pt>
                <c:pt idx="99">
                  <c:v>267.97449999999998</c:v>
                </c:pt>
                <c:pt idx="100">
                  <c:v>45.272199999999998</c:v>
                </c:pt>
                <c:pt idx="101">
                  <c:v>462.06450000000001</c:v>
                </c:pt>
                <c:pt idx="102">
                  <c:v>454.0829</c:v>
                </c:pt>
                <c:pt idx="103">
                  <c:v>82.598029999999994</c:v>
                </c:pt>
                <c:pt idx="104">
                  <c:v>81.572680000000005</c:v>
                </c:pt>
                <c:pt idx="105">
                  <c:v>51.385959999999997</c:v>
                </c:pt>
                <c:pt idx="106">
                  <c:v>66.501530000000002</c:v>
                </c:pt>
                <c:pt idx="107">
                  <c:v>142.8109</c:v>
                </c:pt>
                <c:pt idx="108">
                  <c:v>239.56200000000001</c:v>
                </c:pt>
                <c:pt idx="109">
                  <c:v>1044.028</c:v>
                </c:pt>
                <c:pt idx="110">
                  <c:v>254.303</c:v>
                </c:pt>
                <c:pt idx="111">
                  <c:v>989.83050000000003</c:v>
                </c:pt>
                <c:pt idx="112">
                  <c:v>1774.9549999999999</c:v>
                </c:pt>
                <c:pt idx="113">
                  <c:v>675.9982</c:v>
                </c:pt>
                <c:pt idx="114">
                  <c:v>1426.9570000000001</c:v>
                </c:pt>
                <c:pt idx="115">
                  <c:v>47.482840000000003</c:v>
                </c:pt>
                <c:pt idx="116">
                  <c:v>54.146180000000001</c:v>
                </c:pt>
                <c:pt idx="117">
                  <c:v>24.357900000000001</c:v>
                </c:pt>
                <c:pt idx="118">
                  <c:v>21.610420000000001</c:v>
                </c:pt>
                <c:pt idx="119">
                  <c:v>37.390389999999996</c:v>
                </c:pt>
                <c:pt idx="120">
                  <c:v>16.519380000000002</c:v>
                </c:pt>
                <c:pt idx="121">
                  <c:v>100.1259</c:v>
                </c:pt>
                <c:pt idx="122">
                  <c:v>833.73620000000005</c:v>
                </c:pt>
                <c:pt idx="123">
                  <c:v>146.11330000000001</c:v>
                </c:pt>
                <c:pt idx="124">
                  <c:v>3189.7840000000001</c:v>
                </c:pt>
                <c:pt idx="125">
                  <c:v>68.025390000000002</c:v>
                </c:pt>
                <c:pt idx="126">
                  <c:v>1244.952</c:v>
                </c:pt>
                <c:pt idx="127">
                  <c:v>42.78886</c:v>
                </c:pt>
                <c:pt idx="128">
                  <c:v>33.987180000000002</c:v>
                </c:pt>
                <c:pt idx="129">
                  <c:v>353.2029</c:v>
                </c:pt>
                <c:pt idx="130">
                  <c:v>9.9595990000000008</c:v>
                </c:pt>
                <c:pt idx="131">
                  <c:v>1403.653</c:v>
                </c:pt>
                <c:pt idx="132">
                  <c:v>163.82660000000001</c:v>
                </c:pt>
                <c:pt idx="133">
                  <c:v>75.783779999999993</c:v>
                </c:pt>
                <c:pt idx="134">
                  <c:v>529.78899999999999</c:v>
                </c:pt>
                <c:pt idx="135">
                  <c:v>33.112360000000002</c:v>
                </c:pt>
                <c:pt idx="136">
                  <c:v>45.424689999999998</c:v>
                </c:pt>
                <c:pt idx="137">
                  <c:v>22.14847</c:v>
                </c:pt>
                <c:pt idx="138">
                  <c:v>68.359409999999997</c:v>
                </c:pt>
                <c:pt idx="139">
                  <c:v>60.467730000000003</c:v>
                </c:pt>
                <c:pt idx="140">
                  <c:v>17.900780000000001</c:v>
                </c:pt>
                <c:pt idx="141">
                  <c:v>20.530740000000002</c:v>
                </c:pt>
                <c:pt idx="142">
                  <c:v>458.68369999999999</c:v>
                </c:pt>
                <c:pt idx="143">
                  <c:v>141.3486</c:v>
                </c:pt>
                <c:pt idx="144">
                  <c:v>147.77590000000001</c:v>
                </c:pt>
                <c:pt idx="145">
                  <c:v>81.138630000000006</c:v>
                </c:pt>
                <c:pt idx="146">
                  <c:v>13.324450000000001</c:v>
                </c:pt>
                <c:pt idx="147">
                  <c:v>263.72370000000001</c:v>
                </c:pt>
                <c:pt idx="148">
                  <c:v>284.32940000000002</c:v>
                </c:pt>
                <c:pt idx="149">
                  <c:v>2917.2930000000001</c:v>
                </c:pt>
                <c:pt idx="150">
                  <c:v>21.734839999999998</c:v>
                </c:pt>
                <c:pt idx="151">
                  <c:v>50.852600000000002</c:v>
                </c:pt>
                <c:pt idx="152">
                  <c:v>4179.6480000000001</c:v>
                </c:pt>
                <c:pt idx="153">
                  <c:v>39.007370000000002</c:v>
                </c:pt>
                <c:pt idx="154">
                  <c:v>498.66559999999998</c:v>
                </c:pt>
                <c:pt idx="155">
                  <c:v>5242.8959999999997</c:v>
                </c:pt>
              </c:numCache>
            </c:numRef>
          </c:xVal>
          <c:yVal>
            <c:numRef>
              <c:f>'Exercice 1'!$F$2:$F$157</c:f>
              <c:numCache>
                <c:formatCode>0.00</c:formatCode>
                <c:ptCount val="156"/>
                <c:pt idx="0">
                  <c:v>68.799220000000005</c:v>
                </c:pt>
                <c:pt idx="1">
                  <c:v>69.775710000000004</c:v>
                </c:pt>
                <c:pt idx="2">
                  <c:v>73.757559999999998</c:v>
                </c:pt>
                <c:pt idx="3">
                  <c:v>75.292529999999999</c:v>
                </c:pt>
                <c:pt idx="4">
                  <c:v>65.658100000000005</c:v>
                </c:pt>
                <c:pt idx="5">
                  <c:v>72.427099999999996</c:v>
                </c:pt>
                <c:pt idx="6">
                  <c:v>78.647220000000004</c:v>
                </c:pt>
                <c:pt idx="7">
                  <c:v>75.150589999999994</c:v>
                </c:pt>
                <c:pt idx="8">
                  <c:v>71.861710000000002</c:v>
                </c:pt>
                <c:pt idx="9">
                  <c:v>73.305710000000005</c:v>
                </c:pt>
                <c:pt idx="10">
                  <c:v>75.980729999999994</c:v>
                </c:pt>
                <c:pt idx="11">
                  <c:v>80.964870000000005</c:v>
                </c:pt>
                <c:pt idx="12">
                  <c:v>70.352339999999998</c:v>
                </c:pt>
                <c:pt idx="13">
                  <c:v>76.236339999999998</c:v>
                </c:pt>
                <c:pt idx="14">
                  <c:v>72.728949999999998</c:v>
                </c:pt>
                <c:pt idx="15">
                  <c:v>61.074779999999997</c:v>
                </c:pt>
                <c:pt idx="16">
                  <c:v>72.32302</c:v>
                </c:pt>
                <c:pt idx="17">
                  <c:v>72.984340000000003</c:v>
                </c:pt>
                <c:pt idx="18">
                  <c:v>78.946269999999998</c:v>
                </c:pt>
                <c:pt idx="19">
                  <c:v>78.547420000000002</c:v>
                </c:pt>
                <c:pt idx="20">
                  <c:v>71.310869999999994</c:v>
                </c:pt>
                <c:pt idx="21">
                  <c:v>72.240970000000004</c:v>
                </c:pt>
                <c:pt idx="22">
                  <c:v>73.110799999999998</c:v>
                </c:pt>
                <c:pt idx="23">
                  <c:v>75.629320000000007</c:v>
                </c:pt>
                <c:pt idx="24">
                  <c:v>81.258539999999996</c:v>
                </c:pt>
                <c:pt idx="25">
                  <c:v>79.141459999999995</c:v>
                </c:pt>
                <c:pt idx="26">
                  <c:v>79.599999999999994</c:v>
                </c:pt>
                <c:pt idx="27">
                  <c:v>73.336200000000005</c:v>
                </c:pt>
                <c:pt idx="28">
                  <c:v>53.37771</c:v>
                </c:pt>
                <c:pt idx="29">
                  <c:v>62.873510000000003</c:v>
                </c:pt>
                <c:pt idx="30">
                  <c:v>54.727629999999998</c:v>
                </c:pt>
                <c:pt idx="31">
                  <c:v>71.307749999999999</c:v>
                </c:pt>
                <c:pt idx="32">
                  <c:v>78.524389999999997</c:v>
                </c:pt>
                <c:pt idx="33">
                  <c:v>81.175610000000006</c:v>
                </c:pt>
                <c:pt idx="34">
                  <c:v>53.982489999999999</c:v>
                </c:pt>
                <c:pt idx="35">
                  <c:v>52.687240000000003</c:v>
                </c:pt>
                <c:pt idx="36">
                  <c:v>46.959269999999997</c:v>
                </c:pt>
                <c:pt idx="37">
                  <c:v>50.120190000000001</c:v>
                </c:pt>
                <c:pt idx="38">
                  <c:v>57.668239999999997</c:v>
                </c:pt>
                <c:pt idx="39">
                  <c:v>58.309359999999998</c:v>
                </c:pt>
                <c:pt idx="40">
                  <c:v>46.425269999999998</c:v>
                </c:pt>
                <c:pt idx="41">
                  <c:v>57.524239999999999</c:v>
                </c:pt>
                <c:pt idx="42">
                  <c:v>56.755099999999999</c:v>
                </c:pt>
                <c:pt idx="43">
                  <c:v>60.105269999999997</c:v>
                </c:pt>
                <c:pt idx="44">
                  <c:v>57.450780000000002</c:v>
                </c:pt>
                <c:pt idx="45">
                  <c:v>67.486239999999995</c:v>
                </c:pt>
                <c:pt idx="46">
                  <c:v>60.477930000000001</c:v>
                </c:pt>
                <c:pt idx="47">
                  <c:v>52.439979999999998</c:v>
                </c:pt>
                <c:pt idx="48">
                  <c:v>67.871120000000005</c:v>
                </c:pt>
                <c:pt idx="49">
                  <c:v>81.002440000000007</c:v>
                </c:pt>
                <c:pt idx="50">
                  <c:v>73.016220000000004</c:v>
                </c:pt>
                <c:pt idx="51">
                  <c:v>67.021950000000004</c:v>
                </c:pt>
                <c:pt idx="52">
                  <c:v>80.592680000000001</c:v>
                </c:pt>
                <c:pt idx="53">
                  <c:v>67.848780000000005</c:v>
                </c:pt>
                <c:pt idx="54">
                  <c:v>81.099999999999994</c:v>
                </c:pt>
                <c:pt idx="55">
                  <c:v>72.389049999999997</c:v>
                </c:pt>
                <c:pt idx="57">
                  <c:v>50.160899999999998</c:v>
                </c:pt>
                <c:pt idx="58">
                  <c:v>46.163240000000002</c:v>
                </c:pt>
                <c:pt idx="59">
                  <c:v>74.328999999999994</c:v>
                </c:pt>
                <c:pt idx="60">
                  <c:v>74.302440000000004</c:v>
                </c:pt>
                <c:pt idx="61">
                  <c:v>54.787320000000001</c:v>
                </c:pt>
                <c:pt idx="62">
                  <c:v>48.60575</c:v>
                </c:pt>
                <c:pt idx="63">
                  <c:v>50.247219999999999</c:v>
                </c:pt>
                <c:pt idx="64">
                  <c:v>53.334490000000002</c:v>
                </c:pt>
                <c:pt idx="65">
                  <c:v>50.479730000000004</c:v>
                </c:pt>
                <c:pt idx="66">
                  <c:v>75.106319999999997</c:v>
                </c:pt>
                <c:pt idx="67">
                  <c:v>75.912189999999995</c:v>
                </c:pt>
                <c:pt idx="68">
                  <c:v>81.385369999999995</c:v>
                </c:pt>
                <c:pt idx="69">
                  <c:v>74.267120000000006</c:v>
                </c:pt>
                <c:pt idx="70">
                  <c:v>79.431709999999995</c:v>
                </c:pt>
                <c:pt idx="71">
                  <c:v>72.963419999999999</c:v>
                </c:pt>
                <c:pt idx="72">
                  <c:v>79.021460000000005</c:v>
                </c:pt>
                <c:pt idx="73">
                  <c:v>72.475440000000006</c:v>
                </c:pt>
                <c:pt idx="74">
                  <c:v>72.984629999999996</c:v>
                </c:pt>
                <c:pt idx="75">
                  <c:v>79.939030000000002</c:v>
                </c:pt>
                <c:pt idx="76">
                  <c:v>72.047319999999999</c:v>
                </c:pt>
                <c:pt idx="77">
                  <c:v>75.412610000000001</c:v>
                </c:pt>
                <c:pt idx="78">
                  <c:v>73.129630000000006</c:v>
                </c:pt>
                <c:pt idx="79">
                  <c:v>80.23415</c:v>
                </c:pt>
                <c:pt idx="80">
                  <c:v>76.975610000000003</c:v>
                </c:pt>
                <c:pt idx="81">
                  <c:v>78.446340000000006</c:v>
                </c:pt>
                <c:pt idx="82">
                  <c:v>73.702439999999996</c:v>
                </c:pt>
                <c:pt idx="83">
                  <c:v>75.543899999999994</c:v>
                </c:pt>
                <c:pt idx="84">
                  <c:v>74.704880000000003</c:v>
                </c:pt>
                <c:pt idx="85">
                  <c:v>78.76585</c:v>
                </c:pt>
                <c:pt idx="86">
                  <c:v>79.482929999999996</c:v>
                </c:pt>
                <c:pt idx="87">
                  <c:v>80.868290000000002</c:v>
                </c:pt>
                <c:pt idx="88">
                  <c:v>79.736590000000007</c:v>
                </c:pt>
                <c:pt idx="89">
                  <c:v>80.087810000000005</c:v>
                </c:pt>
                <c:pt idx="90">
                  <c:v>81.992679999999993</c:v>
                </c:pt>
                <c:pt idx="91">
                  <c:v>77.939030000000002</c:v>
                </c:pt>
                <c:pt idx="92">
                  <c:v>70.456100000000006</c:v>
                </c:pt>
                <c:pt idx="93">
                  <c:v>73.77073</c:v>
                </c:pt>
                <c:pt idx="94">
                  <c:v>79.568290000000005</c:v>
                </c:pt>
                <c:pt idx="95">
                  <c:v>72.419510000000002</c:v>
                </c:pt>
                <c:pt idx="96">
                  <c:v>71.812190000000001</c:v>
                </c:pt>
                <c:pt idx="97">
                  <c:v>68.348659999999995</c:v>
                </c:pt>
                <c:pt idx="98">
                  <c:v>72.565860000000001</c:v>
                </c:pt>
                <c:pt idx="99">
                  <c:v>68.251459999999994</c:v>
                </c:pt>
                <c:pt idx="100">
                  <c:v>64.42295</c:v>
                </c:pt>
                <c:pt idx="101">
                  <c:v>75.811049999999994</c:v>
                </c:pt>
                <c:pt idx="102">
                  <c:v>72.998609999999999</c:v>
                </c:pt>
                <c:pt idx="103">
                  <c:v>74.433269999999993</c:v>
                </c:pt>
                <c:pt idx="104">
                  <c:v>64.675700000000006</c:v>
                </c:pt>
                <c:pt idx="105">
                  <c:v>67.566980000000001</c:v>
                </c:pt>
                <c:pt idx="106">
                  <c:v>64.139560000000003</c:v>
                </c:pt>
                <c:pt idx="107">
                  <c:v>73.495949999999993</c:v>
                </c:pt>
                <c:pt idx="108">
                  <c:v>70.067859999999996</c:v>
                </c:pt>
                <c:pt idx="109">
                  <c:v>74.758610000000004</c:v>
                </c:pt>
                <c:pt idx="110">
                  <c:v>72.219660000000005</c:v>
                </c:pt>
                <c:pt idx="111">
                  <c:v>74.378299999999996</c:v>
                </c:pt>
                <c:pt idx="112">
                  <c:v>77.774510000000006</c:v>
                </c:pt>
                <c:pt idx="113">
                  <c:v>73.402079999999998</c:v>
                </c:pt>
                <c:pt idx="114">
                  <c:v>76.221339999999998</c:v>
                </c:pt>
                <c:pt idx="115">
                  <c:v>47.538559999999997</c:v>
                </c:pt>
                <c:pt idx="116">
                  <c:v>68.451220000000006</c:v>
                </c:pt>
                <c:pt idx="117">
                  <c:v>67.527950000000004</c:v>
                </c:pt>
                <c:pt idx="118">
                  <c:v>64.721950000000007</c:v>
                </c:pt>
                <c:pt idx="119">
                  <c:v>66.65598</c:v>
                </c:pt>
                <c:pt idx="120">
                  <c:v>68.004019999999997</c:v>
                </c:pt>
                <c:pt idx="121">
                  <c:v>66.151309999999995</c:v>
                </c:pt>
                <c:pt idx="122">
                  <c:v>77.662289999999999</c:v>
                </c:pt>
                <c:pt idx="123">
                  <c:v>72.835340000000002</c:v>
                </c:pt>
                <c:pt idx="124">
                  <c:v>82.587559999999996</c:v>
                </c:pt>
                <c:pt idx="125">
                  <c:v>67.988929999999996</c:v>
                </c:pt>
                <c:pt idx="126">
                  <c:v>79.832679999999996</c:v>
                </c:pt>
                <c:pt idx="127">
                  <c:v>61.580849999999998</c:v>
                </c:pt>
                <c:pt idx="128">
                  <c:v>66.184389999999993</c:v>
                </c:pt>
                <c:pt idx="129">
                  <c:v>73.568119999999993</c:v>
                </c:pt>
                <c:pt idx="130">
                  <c:v>63.781759999999998</c:v>
                </c:pt>
                <c:pt idx="131">
                  <c:v>80.79025</c:v>
                </c:pt>
                <c:pt idx="132">
                  <c:v>73.61327</c:v>
                </c:pt>
                <c:pt idx="133">
                  <c:v>74.385459999999995</c:v>
                </c:pt>
                <c:pt idx="134">
                  <c:v>52.663679999999999</c:v>
                </c:pt>
                <c:pt idx="135">
                  <c:v>55.124220000000001</c:v>
                </c:pt>
                <c:pt idx="136">
                  <c:v>54.206200000000003</c:v>
                </c:pt>
                <c:pt idx="137">
                  <c:v>55.769440000000003</c:v>
                </c:pt>
                <c:pt idx="138">
                  <c:v>47.052439999999997</c:v>
                </c:pt>
                <c:pt idx="139">
                  <c:v>45.931559999999998</c:v>
                </c:pt>
                <c:pt idx="140">
                  <c:v>51.804729999999999</c:v>
                </c:pt>
                <c:pt idx="141">
                  <c:v>48.898389999999999</c:v>
                </c:pt>
                <c:pt idx="142">
                  <c:v>51.240220000000001</c:v>
                </c:pt>
                <c:pt idx="143">
                  <c:v>47.341929999999998</c:v>
                </c:pt>
                <c:pt idx="144">
                  <c:v>49.84742</c:v>
                </c:pt>
                <c:pt idx="145">
                  <c:v>56.15934</c:v>
                </c:pt>
                <c:pt idx="146">
                  <c:v>47.557340000000003</c:v>
                </c:pt>
                <c:pt idx="147">
                  <c:v>61.381120000000003</c:v>
                </c:pt>
                <c:pt idx="148">
                  <c:v>60.989339999999999</c:v>
                </c:pt>
                <c:pt idx="149">
                  <c:v>80.351219999999998</c:v>
                </c:pt>
                <c:pt idx="150">
                  <c:v>65.835530000000006</c:v>
                </c:pt>
                <c:pt idx="151">
                  <c:v>68.075149999999994</c:v>
                </c:pt>
                <c:pt idx="152">
                  <c:v>81.395120000000006</c:v>
                </c:pt>
                <c:pt idx="153">
                  <c:v>61.701169999999998</c:v>
                </c:pt>
                <c:pt idx="154">
                  <c:v>73.636589999999998</c:v>
                </c:pt>
                <c:pt idx="155">
                  <c:v>80.251220000000004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27-422F-85F0-B39A7F217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235760"/>
        <c:axId val="1643234800"/>
      </c:scatterChart>
      <c:valAx>
        <c:axId val="164323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234800"/>
        <c:crosses val="autoZero"/>
        <c:crossBetween val="midCat"/>
      </c:valAx>
      <c:valAx>
        <c:axId val="164323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23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'Exercice 3'!$I$1</c:f>
              <c:strCache>
                <c:ptCount val="1"/>
                <c:pt idx="0">
                  <c:v>rang_LEB08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>
                    <a:alpha val="61000"/>
                  </a:srgb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935199644929563"/>
                  <c:y val="-8.73972003499562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'Exercice 3'!$H$2:$H$157</c:f>
              <c:numCache>
                <c:formatCode>General</c:formatCode>
                <c:ptCount val="156"/>
                <c:pt idx="0">
                  <c:v>60</c:v>
                </c:pt>
                <c:pt idx="1">
                  <c:v>90</c:v>
                </c:pt>
                <c:pt idx="2">
                  <c:v>104</c:v>
                </c:pt>
                <c:pt idx="3">
                  <c:v>110</c:v>
                </c:pt>
                <c:pt idx="4">
                  <c:v>48</c:v>
                </c:pt>
                <c:pt idx="5">
                  <c:v>111</c:v>
                </c:pt>
                <c:pt idx="6">
                  <c:v>113</c:v>
                </c:pt>
                <c:pt idx="7">
                  <c:v>72</c:v>
                </c:pt>
                <c:pt idx="8">
                  <c:v>67</c:v>
                </c:pt>
                <c:pt idx="9">
                  <c:v>71</c:v>
                </c:pt>
                <c:pt idx="10">
                  <c:v>112</c:v>
                </c:pt>
                <c:pt idx="11">
                  <c:v>142</c:v>
                </c:pt>
                <c:pt idx="12">
                  <c:v>70</c:v>
                </c:pt>
                <c:pt idx="13">
                  <c:v>103</c:v>
                </c:pt>
                <c:pt idx="14">
                  <c:v>79</c:v>
                </c:pt>
                <c:pt idx="15">
                  <c:v>26</c:v>
                </c:pt>
                <c:pt idx="16">
                  <c:v>77</c:v>
                </c:pt>
                <c:pt idx="17">
                  <c:v>84</c:v>
                </c:pt>
                <c:pt idx="18">
                  <c:v>106</c:v>
                </c:pt>
                <c:pt idx="19">
                  <c:v>108</c:v>
                </c:pt>
                <c:pt idx="20">
                  <c:v>73</c:v>
                </c:pt>
                <c:pt idx="21">
                  <c:v>59</c:v>
                </c:pt>
                <c:pt idx="22">
                  <c:v>57</c:v>
                </c:pt>
                <c:pt idx="23">
                  <c:v>96</c:v>
                </c:pt>
                <c:pt idx="24">
                  <c:v>146</c:v>
                </c:pt>
                <c:pt idx="25">
                  <c:v>151</c:v>
                </c:pt>
                <c:pt idx="26">
                  <c:v>140</c:v>
                </c:pt>
                <c:pt idx="27">
                  <c:v>66</c:v>
                </c:pt>
                <c:pt idx="28">
                  <c:v>39</c:v>
                </c:pt>
                <c:pt idx="29">
                  <c:v>37</c:v>
                </c:pt>
                <c:pt idx="30">
                  <c:v>16</c:v>
                </c:pt>
                <c:pt idx="31">
                  <c:v>65</c:v>
                </c:pt>
                <c:pt idx="32">
                  <c:v>133</c:v>
                </c:pt>
                <c:pt idx="33">
                  <c:v>136</c:v>
                </c:pt>
                <c:pt idx="34">
                  <c:v>22</c:v>
                </c:pt>
                <c:pt idx="35">
                  <c:v>10</c:v>
                </c:pt>
                <c:pt idx="36">
                  <c:v>6</c:v>
                </c:pt>
                <c:pt idx="37">
                  <c:v>24</c:v>
                </c:pt>
                <c:pt idx="38">
                  <c:v>18</c:v>
                </c:pt>
                <c:pt idx="39">
                  <c:v>40</c:v>
                </c:pt>
                <c:pt idx="40">
                  <c:v>31</c:v>
                </c:pt>
                <c:pt idx="41">
                  <c:v>17</c:v>
                </c:pt>
                <c:pt idx="42">
                  <c:v>50</c:v>
                </c:pt>
                <c:pt idx="43">
                  <c:v>1</c:v>
                </c:pt>
                <c:pt idx="44">
                  <c:v>4</c:v>
                </c:pt>
                <c:pt idx="45">
                  <c:v>46</c:v>
                </c:pt>
                <c:pt idx="46">
                  <c:v>54</c:v>
                </c:pt>
                <c:pt idx="47">
                  <c:v>28</c:v>
                </c:pt>
                <c:pt idx="48">
                  <c:v>58</c:v>
                </c:pt>
                <c:pt idx="49">
                  <c:v>131</c:v>
                </c:pt>
                <c:pt idx="50">
                  <c:v>85</c:v>
                </c:pt>
                <c:pt idx="51">
                  <c:v>87</c:v>
                </c:pt>
                <c:pt idx="52">
                  <c:v>156</c:v>
                </c:pt>
                <c:pt idx="53">
                  <c:v>102</c:v>
                </c:pt>
                <c:pt idx="54">
                  <c:v>145</c:v>
                </c:pt>
                <c:pt idx="55">
                  <c:v>82</c:v>
                </c:pt>
                <c:pt idx="56">
                  <c:v>138</c:v>
                </c:pt>
                <c:pt idx="57">
                  <c:v>41</c:v>
                </c:pt>
                <c:pt idx="58">
                  <c:v>8</c:v>
                </c:pt>
                <c:pt idx="59">
                  <c:v>92</c:v>
                </c:pt>
                <c:pt idx="60">
                  <c:v>75</c:v>
                </c:pt>
                <c:pt idx="61">
                  <c:v>19</c:v>
                </c:pt>
                <c:pt idx="62">
                  <c:v>33</c:v>
                </c:pt>
                <c:pt idx="63">
                  <c:v>101</c:v>
                </c:pt>
                <c:pt idx="64">
                  <c:v>11</c:v>
                </c:pt>
                <c:pt idx="65">
                  <c:v>47</c:v>
                </c:pt>
                <c:pt idx="66">
                  <c:v>98</c:v>
                </c:pt>
                <c:pt idx="67">
                  <c:v>122</c:v>
                </c:pt>
                <c:pt idx="68">
                  <c:v>139</c:v>
                </c:pt>
                <c:pt idx="69">
                  <c:v>86</c:v>
                </c:pt>
                <c:pt idx="70">
                  <c:v>124</c:v>
                </c:pt>
                <c:pt idx="71">
                  <c:v>95</c:v>
                </c:pt>
                <c:pt idx="72">
                  <c:v>130</c:v>
                </c:pt>
                <c:pt idx="73">
                  <c:v>55</c:v>
                </c:pt>
                <c:pt idx="74">
                  <c:v>78</c:v>
                </c:pt>
                <c:pt idx="75">
                  <c:v>135</c:v>
                </c:pt>
                <c:pt idx="76">
                  <c:v>105</c:v>
                </c:pt>
                <c:pt idx="77">
                  <c:v>45</c:v>
                </c:pt>
                <c:pt idx="78">
                  <c:v>107</c:v>
                </c:pt>
                <c:pt idx="79">
                  <c:v>148</c:v>
                </c:pt>
                <c:pt idx="80">
                  <c:v>128</c:v>
                </c:pt>
                <c:pt idx="81">
                  <c:v>152</c:v>
                </c:pt>
                <c:pt idx="82">
                  <c:v>121</c:v>
                </c:pt>
                <c:pt idx="83">
                  <c:v>116</c:v>
                </c:pt>
                <c:pt idx="84">
                  <c:v>125</c:v>
                </c:pt>
                <c:pt idx="85">
                  <c:v>132</c:v>
                </c:pt>
                <c:pt idx="86">
                  <c:v>149</c:v>
                </c:pt>
                <c:pt idx="87">
                  <c:v>147</c:v>
                </c:pt>
                <c:pt idx="88">
                  <c:v>144</c:v>
                </c:pt>
                <c:pt idx="89">
                  <c:v>155</c:v>
                </c:pt>
                <c:pt idx="90">
                  <c:v>153</c:v>
                </c:pt>
                <c:pt idx="91">
                  <c:v>154</c:v>
                </c:pt>
                <c:pt idx="92">
                  <c:v>88</c:v>
                </c:pt>
                <c:pt idx="93">
                  <c:v>120</c:v>
                </c:pt>
                <c:pt idx="94">
                  <c:v>143</c:v>
                </c:pt>
                <c:pt idx="95">
                  <c:v>117</c:v>
                </c:pt>
                <c:pt idx="96">
                  <c:v>115</c:v>
                </c:pt>
                <c:pt idx="97">
                  <c:v>69</c:v>
                </c:pt>
                <c:pt idx="98">
                  <c:v>99</c:v>
                </c:pt>
                <c:pt idx="99">
                  <c:v>81</c:v>
                </c:pt>
                <c:pt idx="100">
                  <c:v>29</c:v>
                </c:pt>
                <c:pt idx="101">
                  <c:v>94</c:v>
                </c:pt>
                <c:pt idx="102">
                  <c:v>91</c:v>
                </c:pt>
                <c:pt idx="103">
                  <c:v>53</c:v>
                </c:pt>
                <c:pt idx="104">
                  <c:v>52</c:v>
                </c:pt>
                <c:pt idx="105">
                  <c:v>35</c:v>
                </c:pt>
                <c:pt idx="106">
                  <c:v>42</c:v>
                </c:pt>
                <c:pt idx="107">
                  <c:v>62</c:v>
                </c:pt>
                <c:pt idx="108">
                  <c:v>74</c:v>
                </c:pt>
                <c:pt idx="109">
                  <c:v>119</c:v>
                </c:pt>
                <c:pt idx="110">
                  <c:v>76</c:v>
                </c:pt>
                <c:pt idx="111">
                  <c:v>118</c:v>
                </c:pt>
                <c:pt idx="112">
                  <c:v>129</c:v>
                </c:pt>
                <c:pt idx="113">
                  <c:v>109</c:v>
                </c:pt>
                <c:pt idx="114">
                  <c:v>127</c:v>
                </c:pt>
                <c:pt idx="115">
                  <c:v>32</c:v>
                </c:pt>
                <c:pt idx="116">
                  <c:v>36</c:v>
                </c:pt>
                <c:pt idx="117">
                  <c:v>15</c:v>
                </c:pt>
                <c:pt idx="118">
                  <c:v>12</c:v>
                </c:pt>
                <c:pt idx="119">
                  <c:v>23</c:v>
                </c:pt>
                <c:pt idx="120">
                  <c:v>5</c:v>
                </c:pt>
                <c:pt idx="121">
                  <c:v>56</c:v>
                </c:pt>
                <c:pt idx="122">
                  <c:v>114</c:v>
                </c:pt>
                <c:pt idx="123">
                  <c:v>63</c:v>
                </c:pt>
                <c:pt idx="124">
                  <c:v>137</c:v>
                </c:pt>
                <c:pt idx="125">
                  <c:v>43</c:v>
                </c:pt>
                <c:pt idx="126">
                  <c:v>123</c:v>
                </c:pt>
                <c:pt idx="127">
                  <c:v>27</c:v>
                </c:pt>
                <c:pt idx="128">
                  <c:v>21</c:v>
                </c:pt>
                <c:pt idx="129">
                  <c:v>89</c:v>
                </c:pt>
                <c:pt idx="130">
                  <c:v>2</c:v>
                </c:pt>
                <c:pt idx="131">
                  <c:v>126</c:v>
                </c:pt>
                <c:pt idx="132">
                  <c:v>68</c:v>
                </c:pt>
                <c:pt idx="133">
                  <c:v>49</c:v>
                </c:pt>
                <c:pt idx="134">
                  <c:v>100</c:v>
                </c:pt>
                <c:pt idx="135">
                  <c:v>20</c:v>
                </c:pt>
                <c:pt idx="136">
                  <c:v>30</c:v>
                </c:pt>
                <c:pt idx="137">
                  <c:v>14</c:v>
                </c:pt>
                <c:pt idx="138">
                  <c:v>44</c:v>
                </c:pt>
                <c:pt idx="139">
                  <c:v>38</c:v>
                </c:pt>
                <c:pt idx="140">
                  <c:v>7</c:v>
                </c:pt>
                <c:pt idx="141">
                  <c:v>9</c:v>
                </c:pt>
                <c:pt idx="142">
                  <c:v>93</c:v>
                </c:pt>
                <c:pt idx="143">
                  <c:v>61</c:v>
                </c:pt>
                <c:pt idx="144">
                  <c:v>64</c:v>
                </c:pt>
                <c:pt idx="145">
                  <c:v>51</c:v>
                </c:pt>
                <c:pt idx="146">
                  <c:v>3</c:v>
                </c:pt>
                <c:pt idx="147">
                  <c:v>80</c:v>
                </c:pt>
                <c:pt idx="148">
                  <c:v>83</c:v>
                </c:pt>
                <c:pt idx="149">
                  <c:v>134</c:v>
                </c:pt>
                <c:pt idx="150">
                  <c:v>13</c:v>
                </c:pt>
                <c:pt idx="151">
                  <c:v>34</c:v>
                </c:pt>
                <c:pt idx="152">
                  <c:v>141</c:v>
                </c:pt>
                <c:pt idx="153">
                  <c:v>25</c:v>
                </c:pt>
                <c:pt idx="154">
                  <c:v>97</c:v>
                </c:pt>
                <c:pt idx="155">
                  <c:v>150</c:v>
                </c:pt>
              </c:numCache>
            </c:numRef>
          </c:xVal>
          <c:yVal>
            <c:numRef>
              <c:f>'Exercice 3'!$I$2:$I$157</c:f>
              <c:numCache>
                <c:formatCode>General</c:formatCode>
                <c:ptCount val="156"/>
                <c:pt idx="0">
                  <c:v>65</c:v>
                </c:pt>
                <c:pt idx="1">
                  <c:v>66</c:v>
                </c:pt>
                <c:pt idx="2">
                  <c:v>100</c:v>
                </c:pt>
                <c:pt idx="3">
                  <c:v>112</c:v>
                </c:pt>
                <c:pt idx="4">
                  <c:v>48</c:v>
                </c:pt>
                <c:pt idx="5">
                  <c:v>80</c:v>
                </c:pt>
                <c:pt idx="6">
                  <c:v>128</c:v>
                </c:pt>
                <c:pt idx="7">
                  <c:v>111</c:v>
                </c:pt>
                <c:pt idx="8">
                  <c:v>73</c:v>
                </c:pt>
                <c:pt idx="9">
                  <c:v>92</c:v>
                </c:pt>
                <c:pt idx="10">
                  <c:v>118</c:v>
                </c:pt>
                <c:pt idx="11">
                  <c:v>147</c:v>
                </c:pt>
                <c:pt idx="12">
                  <c:v>68</c:v>
                </c:pt>
                <c:pt idx="13">
                  <c:v>120</c:v>
                </c:pt>
                <c:pt idx="14">
                  <c:v>83</c:v>
                </c:pt>
                <c:pt idx="15">
                  <c:v>38</c:v>
                </c:pt>
                <c:pt idx="16">
                  <c:v>77</c:v>
                </c:pt>
                <c:pt idx="17">
                  <c:v>86</c:v>
                </c:pt>
                <c:pt idx="18">
                  <c:v>130</c:v>
                </c:pt>
                <c:pt idx="19">
                  <c:v>127</c:v>
                </c:pt>
                <c:pt idx="20">
                  <c:v>71</c:v>
                </c:pt>
                <c:pt idx="21">
                  <c:v>76</c:v>
                </c:pt>
                <c:pt idx="22">
                  <c:v>90</c:v>
                </c:pt>
                <c:pt idx="23">
                  <c:v>115</c:v>
                </c:pt>
                <c:pt idx="24">
                  <c:v>151</c:v>
                </c:pt>
                <c:pt idx="25">
                  <c:v>132</c:v>
                </c:pt>
                <c:pt idx="26">
                  <c:v>136</c:v>
                </c:pt>
                <c:pt idx="27">
                  <c:v>93</c:v>
                </c:pt>
                <c:pt idx="28">
                  <c:v>22</c:v>
                </c:pt>
                <c:pt idx="29">
                  <c:v>42</c:v>
                </c:pt>
                <c:pt idx="30">
                  <c:v>25</c:v>
                </c:pt>
                <c:pt idx="31">
                  <c:v>70</c:v>
                </c:pt>
                <c:pt idx="32">
                  <c:v>126</c:v>
                </c:pt>
                <c:pt idx="33">
                  <c:v>150</c:v>
                </c:pt>
                <c:pt idx="34">
                  <c:v>23</c:v>
                </c:pt>
                <c:pt idx="35">
                  <c:v>20</c:v>
                </c:pt>
                <c:pt idx="36">
                  <c:v>4</c:v>
                </c:pt>
                <c:pt idx="37">
                  <c:v>12</c:v>
                </c:pt>
                <c:pt idx="38">
                  <c:v>33</c:v>
                </c:pt>
                <c:pt idx="39">
                  <c:v>34</c:v>
                </c:pt>
                <c:pt idx="40">
                  <c:v>3</c:v>
                </c:pt>
                <c:pt idx="41">
                  <c:v>32</c:v>
                </c:pt>
                <c:pt idx="42">
                  <c:v>30</c:v>
                </c:pt>
                <c:pt idx="43">
                  <c:v>35</c:v>
                </c:pt>
                <c:pt idx="44">
                  <c:v>31</c:v>
                </c:pt>
                <c:pt idx="45">
                  <c:v>54</c:v>
                </c:pt>
                <c:pt idx="46">
                  <c:v>36</c:v>
                </c:pt>
                <c:pt idx="47">
                  <c:v>18</c:v>
                </c:pt>
                <c:pt idx="48">
                  <c:v>58</c:v>
                </c:pt>
                <c:pt idx="49">
                  <c:v>148</c:v>
                </c:pt>
                <c:pt idx="50">
                  <c:v>89</c:v>
                </c:pt>
                <c:pt idx="51">
                  <c:v>53</c:v>
                </c:pt>
                <c:pt idx="52">
                  <c:v>144</c:v>
                </c:pt>
                <c:pt idx="53">
                  <c:v>57</c:v>
                </c:pt>
                <c:pt idx="54">
                  <c:v>149</c:v>
                </c:pt>
                <c:pt idx="55">
                  <c:v>78</c:v>
                </c:pt>
                <c:pt idx="57">
                  <c:v>13</c:v>
                </c:pt>
                <c:pt idx="58">
                  <c:v>2</c:v>
                </c:pt>
                <c:pt idx="59">
                  <c:v>104</c:v>
                </c:pt>
                <c:pt idx="60">
                  <c:v>103</c:v>
                </c:pt>
                <c:pt idx="61">
                  <c:v>26</c:v>
                </c:pt>
                <c:pt idx="62">
                  <c:v>9</c:v>
                </c:pt>
                <c:pt idx="63">
                  <c:v>14</c:v>
                </c:pt>
                <c:pt idx="64">
                  <c:v>21</c:v>
                </c:pt>
                <c:pt idx="65">
                  <c:v>15</c:v>
                </c:pt>
                <c:pt idx="66">
                  <c:v>110</c:v>
                </c:pt>
                <c:pt idx="67">
                  <c:v>117</c:v>
                </c:pt>
                <c:pt idx="68">
                  <c:v>152</c:v>
                </c:pt>
                <c:pt idx="69">
                  <c:v>102</c:v>
                </c:pt>
                <c:pt idx="70">
                  <c:v>133</c:v>
                </c:pt>
                <c:pt idx="71">
                  <c:v>85</c:v>
                </c:pt>
                <c:pt idx="72">
                  <c:v>131</c:v>
                </c:pt>
                <c:pt idx="73">
                  <c:v>81</c:v>
                </c:pt>
                <c:pt idx="74">
                  <c:v>87</c:v>
                </c:pt>
                <c:pt idx="75">
                  <c:v>139</c:v>
                </c:pt>
                <c:pt idx="76">
                  <c:v>74</c:v>
                </c:pt>
                <c:pt idx="77">
                  <c:v>113</c:v>
                </c:pt>
                <c:pt idx="78">
                  <c:v>91</c:v>
                </c:pt>
                <c:pt idx="79">
                  <c:v>141</c:v>
                </c:pt>
                <c:pt idx="80">
                  <c:v>121</c:v>
                </c:pt>
                <c:pt idx="81">
                  <c:v>125</c:v>
                </c:pt>
                <c:pt idx="82">
                  <c:v>99</c:v>
                </c:pt>
                <c:pt idx="83">
                  <c:v>114</c:v>
                </c:pt>
                <c:pt idx="84">
                  <c:v>108</c:v>
                </c:pt>
                <c:pt idx="85">
                  <c:v>129</c:v>
                </c:pt>
                <c:pt idx="86">
                  <c:v>134</c:v>
                </c:pt>
                <c:pt idx="87">
                  <c:v>146</c:v>
                </c:pt>
                <c:pt idx="88">
                  <c:v>137</c:v>
                </c:pt>
                <c:pt idx="89">
                  <c:v>140</c:v>
                </c:pt>
                <c:pt idx="90">
                  <c:v>154</c:v>
                </c:pt>
                <c:pt idx="91">
                  <c:v>124</c:v>
                </c:pt>
                <c:pt idx="92">
                  <c:v>69</c:v>
                </c:pt>
                <c:pt idx="93">
                  <c:v>101</c:v>
                </c:pt>
                <c:pt idx="94">
                  <c:v>135</c:v>
                </c:pt>
                <c:pt idx="95">
                  <c:v>79</c:v>
                </c:pt>
                <c:pt idx="96">
                  <c:v>72</c:v>
                </c:pt>
                <c:pt idx="97">
                  <c:v>63</c:v>
                </c:pt>
                <c:pt idx="98">
                  <c:v>82</c:v>
                </c:pt>
                <c:pt idx="99">
                  <c:v>62</c:v>
                </c:pt>
                <c:pt idx="100">
                  <c:v>45</c:v>
                </c:pt>
                <c:pt idx="101">
                  <c:v>116</c:v>
                </c:pt>
                <c:pt idx="102">
                  <c:v>88</c:v>
                </c:pt>
                <c:pt idx="103">
                  <c:v>107</c:v>
                </c:pt>
                <c:pt idx="104">
                  <c:v>46</c:v>
                </c:pt>
                <c:pt idx="105">
                  <c:v>56</c:v>
                </c:pt>
                <c:pt idx="106">
                  <c:v>44</c:v>
                </c:pt>
                <c:pt idx="107">
                  <c:v>95</c:v>
                </c:pt>
                <c:pt idx="108">
                  <c:v>67</c:v>
                </c:pt>
                <c:pt idx="109">
                  <c:v>109</c:v>
                </c:pt>
                <c:pt idx="110">
                  <c:v>75</c:v>
                </c:pt>
                <c:pt idx="111">
                  <c:v>105</c:v>
                </c:pt>
                <c:pt idx="112">
                  <c:v>123</c:v>
                </c:pt>
                <c:pt idx="113">
                  <c:v>94</c:v>
                </c:pt>
                <c:pt idx="114">
                  <c:v>119</c:v>
                </c:pt>
                <c:pt idx="115">
                  <c:v>7</c:v>
                </c:pt>
                <c:pt idx="116">
                  <c:v>64</c:v>
                </c:pt>
                <c:pt idx="117">
                  <c:v>55</c:v>
                </c:pt>
                <c:pt idx="118">
                  <c:v>47</c:v>
                </c:pt>
                <c:pt idx="119">
                  <c:v>52</c:v>
                </c:pt>
                <c:pt idx="120">
                  <c:v>60</c:v>
                </c:pt>
                <c:pt idx="121">
                  <c:v>50</c:v>
                </c:pt>
                <c:pt idx="122">
                  <c:v>122</c:v>
                </c:pt>
                <c:pt idx="123">
                  <c:v>84</c:v>
                </c:pt>
                <c:pt idx="124">
                  <c:v>155</c:v>
                </c:pt>
                <c:pt idx="125">
                  <c:v>59</c:v>
                </c:pt>
                <c:pt idx="126">
                  <c:v>138</c:v>
                </c:pt>
                <c:pt idx="127">
                  <c:v>40</c:v>
                </c:pt>
                <c:pt idx="128">
                  <c:v>51</c:v>
                </c:pt>
                <c:pt idx="129">
                  <c:v>96</c:v>
                </c:pt>
                <c:pt idx="130">
                  <c:v>43</c:v>
                </c:pt>
                <c:pt idx="131">
                  <c:v>145</c:v>
                </c:pt>
                <c:pt idx="132">
                  <c:v>97</c:v>
                </c:pt>
                <c:pt idx="133">
                  <c:v>106</c:v>
                </c:pt>
                <c:pt idx="134">
                  <c:v>19</c:v>
                </c:pt>
                <c:pt idx="135">
                  <c:v>27</c:v>
                </c:pt>
                <c:pt idx="136">
                  <c:v>24</c:v>
                </c:pt>
                <c:pt idx="137">
                  <c:v>28</c:v>
                </c:pt>
                <c:pt idx="138">
                  <c:v>5</c:v>
                </c:pt>
                <c:pt idx="139">
                  <c:v>1</c:v>
                </c:pt>
                <c:pt idx="140">
                  <c:v>17</c:v>
                </c:pt>
                <c:pt idx="141">
                  <c:v>10</c:v>
                </c:pt>
                <c:pt idx="142">
                  <c:v>16</c:v>
                </c:pt>
                <c:pt idx="143">
                  <c:v>6</c:v>
                </c:pt>
                <c:pt idx="144">
                  <c:v>11</c:v>
                </c:pt>
                <c:pt idx="145">
                  <c:v>29</c:v>
                </c:pt>
                <c:pt idx="146">
                  <c:v>8</c:v>
                </c:pt>
                <c:pt idx="147">
                  <c:v>39</c:v>
                </c:pt>
                <c:pt idx="148">
                  <c:v>37</c:v>
                </c:pt>
                <c:pt idx="149">
                  <c:v>143</c:v>
                </c:pt>
                <c:pt idx="150">
                  <c:v>49</c:v>
                </c:pt>
                <c:pt idx="151">
                  <c:v>61</c:v>
                </c:pt>
                <c:pt idx="152">
                  <c:v>153</c:v>
                </c:pt>
                <c:pt idx="153">
                  <c:v>41</c:v>
                </c:pt>
                <c:pt idx="154">
                  <c:v>98</c:v>
                </c:pt>
                <c:pt idx="155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17-4A83-A8DD-9A047A56F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554736"/>
        <c:axId val="1133572016"/>
      </c:scatterChart>
      <c:valAx>
        <c:axId val="113355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3572016"/>
        <c:crosses val="autoZero"/>
        <c:crossBetween val="midCat"/>
      </c:valAx>
      <c:valAx>
        <c:axId val="11335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355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337185</xdr:colOff>
      <xdr:row>7</xdr:row>
      <xdr:rowOff>95250</xdr:rowOff>
    </xdr:from>
    <xdr:to>
      <xdr:col>13</xdr:col>
      <xdr:colOff>30480</xdr:colOff>
      <xdr:row>25</xdr:row>
      <xdr:rowOff>85725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781508F-E368-74D0-8F6D-936893535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403860</xdr:colOff>
      <xdr:row>7</xdr:row>
      <xdr:rowOff>95250</xdr:rowOff>
    </xdr:from>
    <xdr:to>
      <xdr:col>9</xdr:col>
      <xdr:colOff>198120</xdr:colOff>
      <xdr:row>25</xdr:row>
      <xdr:rowOff>99060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376CCE3-28EA-6CCB-174B-9006CB8DC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</xdr:colOff>
      <xdr:row>4</xdr:row>
      <xdr:rowOff>3810</xdr:rowOff>
    </xdr:from>
    <xdr:to>
      <xdr:col>17</xdr:col>
      <xdr:colOff>150495</xdr:colOff>
      <xdr:row>20</xdr:row>
      <xdr:rowOff>3810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FA1A07D-F347-7BDA-26E3-6252C685B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724787</xdr:colOff>
      <xdr:row>25</xdr:row>
      <xdr:rowOff>137521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9AB4893-005B-C0B7-15E4-0FADEB2D5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167640"/>
          <a:ext cx="10234547" cy="416088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opLeftCell="A38" zoomScaleNormal="100" workbookViewId="0">
      <selection activeCell="J43" sqref="J43"/>
    </sheetView>
  </sheetViews>
  <sheetFormatPr baseColWidth="10" defaultColWidth="11.6640625" defaultRowHeight="13.2"/>
  <cols>
    <col min="1" max="1" width="17.33203125" customWidth="1"/>
    <col min="2" max="2" width="15" customWidth="1"/>
    <col min="8" max="8" width="14.21875" customWidth="1"/>
  </cols>
  <sheetData>
    <row r="1" spans="1:3" ht="30">
      <c r="A1" s="1" t="s">
        <v>0</v>
      </c>
    </row>
    <row r="2" spans="1:3" ht="17.399999999999999">
      <c r="A2" s="2" t="s">
        <v>1</v>
      </c>
    </row>
    <row r="3" spans="1:3" ht="17.399999999999999">
      <c r="A3" s="2" t="s">
        <v>2</v>
      </c>
    </row>
    <row r="4" spans="1:3" ht="17.399999999999999">
      <c r="A4" s="2"/>
    </row>
    <row r="6" spans="1:3" ht="17.399999999999999">
      <c r="A6" s="3" t="s">
        <v>3</v>
      </c>
    </row>
    <row r="8" spans="1:3">
      <c r="A8" t="s">
        <v>4</v>
      </c>
    </row>
    <row r="10" spans="1:3">
      <c r="A10" t="s">
        <v>5</v>
      </c>
      <c r="B10" t="s">
        <v>6</v>
      </c>
      <c r="C10" t="s">
        <v>7</v>
      </c>
    </row>
    <row r="11" spans="1:3">
      <c r="B11" t="s">
        <v>8</v>
      </c>
      <c r="C11" t="s">
        <v>9</v>
      </c>
    </row>
    <row r="14" spans="1:3">
      <c r="A14" t="s">
        <v>10</v>
      </c>
      <c r="B14" t="s">
        <v>11</v>
      </c>
    </row>
    <row r="15" spans="1:3">
      <c r="B15" s="4" t="s">
        <v>12</v>
      </c>
    </row>
    <row r="19" spans="1:14" ht="17.399999999999999">
      <c r="A19" s="3" t="s">
        <v>13</v>
      </c>
    </row>
    <row r="21" spans="1:14">
      <c r="A21" t="s">
        <v>14</v>
      </c>
    </row>
    <row r="25" spans="1:14" ht="17.399999999999999">
      <c r="A25" s="3" t="s">
        <v>15</v>
      </c>
    </row>
    <row r="27" spans="1:14">
      <c r="A27" s="5" t="s">
        <v>16</v>
      </c>
    </row>
    <row r="28" spans="1:14">
      <c r="A28" t="s">
        <v>17</v>
      </c>
      <c r="K28" s="29" t="s">
        <v>358</v>
      </c>
      <c r="L28" s="29"/>
      <c r="M28" s="29"/>
      <c r="N28" s="29"/>
    </row>
    <row r="29" spans="1:14">
      <c r="A29" t="s">
        <v>18</v>
      </c>
      <c r="K29" s="29"/>
      <c r="L29" s="29"/>
      <c r="M29" s="29"/>
      <c r="N29" s="29"/>
    </row>
    <row r="30" spans="1:14">
      <c r="A30" t="s">
        <v>19</v>
      </c>
      <c r="K30" s="29"/>
      <c r="L30" s="29"/>
      <c r="M30" s="29"/>
      <c r="N30" s="29"/>
    </row>
    <row r="31" spans="1:14" ht="18" customHeight="1">
      <c r="B31" s="27" t="s">
        <v>356</v>
      </c>
      <c r="C31" s="27"/>
      <c r="D31" s="27"/>
      <c r="E31" s="27"/>
      <c r="F31" s="27"/>
      <c r="G31" s="27"/>
      <c r="H31" s="27"/>
      <c r="K31" s="10"/>
      <c r="L31" s="10"/>
      <c r="M31" s="10"/>
      <c r="N31" s="10"/>
    </row>
    <row r="32" spans="1:14" ht="18.600000000000001" customHeight="1">
      <c r="B32" s="27"/>
      <c r="C32" s="27"/>
      <c r="D32" s="27"/>
      <c r="E32" s="27"/>
      <c r="F32" s="27"/>
      <c r="G32" s="27"/>
      <c r="H32" s="27"/>
      <c r="K32" s="10"/>
      <c r="L32" s="10"/>
      <c r="M32" s="10"/>
      <c r="N32" s="10"/>
    </row>
    <row r="33" spans="1:14" ht="19.2" customHeight="1">
      <c r="B33" s="27"/>
      <c r="C33" s="27"/>
      <c r="D33" s="27"/>
      <c r="E33" s="27"/>
      <c r="F33" s="27"/>
      <c r="G33" s="27"/>
      <c r="H33" s="27"/>
      <c r="K33" s="10"/>
      <c r="L33" s="10"/>
      <c r="M33" s="10"/>
      <c r="N33" s="10"/>
    </row>
    <row r="34" spans="1:14" ht="20.399999999999999" customHeight="1">
      <c r="B34" s="27"/>
      <c r="C34" s="27"/>
      <c r="D34" s="27"/>
      <c r="E34" s="27"/>
      <c r="F34" s="27"/>
      <c r="G34" s="27"/>
      <c r="H34" s="27"/>
      <c r="K34" s="10"/>
      <c r="L34" s="10"/>
      <c r="M34" s="10"/>
      <c r="N34" s="10"/>
    </row>
    <row r="35" spans="1:14" ht="13.8">
      <c r="K35" s="10"/>
      <c r="L35" s="10"/>
      <c r="M35" s="10"/>
      <c r="N35" s="10"/>
    </row>
    <row r="37" spans="1:14">
      <c r="A37" s="5" t="s">
        <v>20</v>
      </c>
    </row>
    <row r="38" spans="1:14">
      <c r="A38" t="s">
        <v>21</v>
      </c>
      <c r="K38" s="29" t="s">
        <v>358</v>
      </c>
      <c r="L38" s="29"/>
      <c r="M38" s="29"/>
      <c r="N38" s="29"/>
    </row>
    <row r="39" spans="1:14">
      <c r="A39" t="s">
        <v>22</v>
      </c>
      <c r="K39" s="29"/>
      <c r="L39" s="29"/>
      <c r="M39" s="29"/>
      <c r="N39" s="29"/>
    </row>
    <row r="40" spans="1:14">
      <c r="B40" s="27" t="s">
        <v>357</v>
      </c>
      <c r="C40" s="27"/>
      <c r="D40" s="27"/>
      <c r="E40" s="27"/>
      <c r="F40" s="27"/>
      <c r="G40" s="27"/>
      <c r="H40" s="27"/>
      <c r="K40" s="29"/>
      <c r="L40" s="29"/>
      <c r="M40" s="29"/>
      <c r="N40" s="29"/>
    </row>
    <row r="41" spans="1:14">
      <c r="B41" s="27"/>
      <c r="C41" s="27"/>
      <c r="D41" s="27"/>
      <c r="E41" s="27"/>
      <c r="F41" s="27"/>
      <c r="G41" s="27"/>
      <c r="H41" s="27"/>
      <c r="K41" s="29"/>
      <c r="L41" s="29"/>
      <c r="M41" s="29"/>
      <c r="N41" s="29"/>
    </row>
    <row r="42" spans="1:14">
      <c r="B42" s="27"/>
      <c r="C42" s="27"/>
      <c r="D42" s="27"/>
      <c r="E42" s="27"/>
      <c r="F42" s="27"/>
      <c r="G42" s="27"/>
      <c r="H42" s="27"/>
      <c r="K42" s="29"/>
      <c r="L42" s="29"/>
      <c r="M42" s="29"/>
      <c r="N42" s="29"/>
    </row>
    <row r="43" spans="1:14">
      <c r="B43" s="27"/>
      <c r="C43" s="27"/>
      <c r="D43" s="27"/>
      <c r="E43" s="27"/>
      <c r="F43" s="27"/>
      <c r="G43" s="27"/>
      <c r="H43" s="27"/>
      <c r="K43" s="29"/>
      <c r="L43" s="29"/>
      <c r="M43" s="29"/>
      <c r="N43" s="29"/>
    </row>
    <row r="44" spans="1:14">
      <c r="K44" s="29"/>
      <c r="L44" s="29"/>
      <c r="M44" s="29"/>
      <c r="N44" s="29"/>
    </row>
    <row r="46" spans="1:14" ht="13.2" customHeight="1">
      <c r="A46" s="5" t="s">
        <v>23</v>
      </c>
      <c r="L46" s="29" t="s">
        <v>359</v>
      </c>
      <c r="M46" s="29"/>
      <c r="N46" s="29"/>
    </row>
    <row r="47" spans="1:14" ht="13.2" customHeight="1">
      <c r="A47" t="s">
        <v>24</v>
      </c>
      <c r="L47" s="29"/>
      <c r="M47" s="29"/>
      <c r="N47" s="29"/>
    </row>
    <row r="48" spans="1:14" ht="13.2" customHeight="1">
      <c r="A48" t="s">
        <v>25</v>
      </c>
      <c r="L48" s="29"/>
      <c r="M48" s="29"/>
      <c r="N48" s="29"/>
    </row>
    <row r="49" spans="1:16" ht="13.2" customHeight="1">
      <c r="A49" t="s">
        <v>26</v>
      </c>
      <c r="L49" s="29"/>
      <c r="M49" s="29"/>
      <c r="N49" s="29"/>
    </row>
    <row r="50" spans="1:16">
      <c r="A50" t="s">
        <v>27</v>
      </c>
      <c r="L50" s="29"/>
      <c r="M50" s="29"/>
      <c r="N50" s="29"/>
    </row>
    <row r="51" spans="1:16">
      <c r="A51" t="s">
        <v>28</v>
      </c>
    </row>
    <row r="53" spans="1:16" ht="22.2" customHeight="1">
      <c r="B53" s="28" t="s">
        <v>364</v>
      </c>
      <c r="C53" s="28"/>
      <c r="D53" s="28"/>
      <c r="E53" s="28"/>
      <c r="F53" s="28"/>
      <c r="G53" s="28"/>
      <c r="H53" s="28"/>
    </row>
    <row r="54" spans="1:16" ht="21" customHeight="1">
      <c r="B54" s="28"/>
      <c r="C54" s="28"/>
      <c r="D54" s="28"/>
      <c r="E54" s="28"/>
      <c r="F54" s="28"/>
      <c r="G54" s="28"/>
      <c r="H54" s="28"/>
    </row>
    <row r="55" spans="1:16" ht="22.8" customHeight="1">
      <c r="B55" s="28"/>
      <c r="C55" s="28"/>
      <c r="D55" s="28"/>
      <c r="E55" s="28"/>
      <c r="F55" s="28"/>
      <c r="G55" s="28"/>
      <c r="H55" s="28"/>
    </row>
    <row r="56" spans="1:16" ht="22.2" customHeight="1">
      <c r="B56" s="28"/>
      <c r="C56" s="28"/>
      <c r="D56" s="28"/>
      <c r="E56" s="28"/>
      <c r="F56" s="28"/>
      <c r="G56" s="28"/>
      <c r="H56" s="28"/>
    </row>
    <row r="58" spans="1:16" ht="12.75" customHeight="1">
      <c r="A58" s="5" t="s">
        <v>29</v>
      </c>
    </row>
    <row r="59" spans="1:16" ht="13.2" customHeight="1">
      <c r="A59" t="s">
        <v>30</v>
      </c>
      <c r="H59" s="27" t="s">
        <v>362</v>
      </c>
      <c r="I59" s="27"/>
      <c r="J59" s="27"/>
      <c r="K59" s="27"/>
      <c r="L59" s="27"/>
      <c r="M59" s="27"/>
      <c r="N59" s="27"/>
      <c r="O59" s="26"/>
      <c r="P59" s="26"/>
    </row>
    <row r="60" spans="1:16">
      <c r="H60" s="27"/>
      <c r="I60" s="27"/>
      <c r="J60" s="27"/>
      <c r="K60" s="27"/>
      <c r="L60" s="27"/>
      <c r="M60" s="27"/>
      <c r="N60" s="27"/>
      <c r="O60" s="26"/>
      <c r="P60" s="26"/>
    </row>
    <row r="61" spans="1:16">
      <c r="H61" s="25"/>
      <c r="I61" s="25"/>
      <c r="J61" s="25"/>
      <c r="K61" s="25"/>
      <c r="L61" s="25"/>
      <c r="M61" s="25"/>
      <c r="N61" s="25"/>
      <c r="O61" s="26"/>
      <c r="P61" s="26"/>
    </row>
    <row r="62" spans="1:16">
      <c r="A62" t="s">
        <v>31</v>
      </c>
    </row>
    <row r="63" spans="1:16">
      <c r="C63" s="27" t="s">
        <v>363</v>
      </c>
      <c r="D63" s="27"/>
      <c r="E63" s="27"/>
      <c r="F63" s="27"/>
      <c r="G63" s="27"/>
      <c r="H63" s="27"/>
      <c r="I63" s="27"/>
    </row>
    <row r="64" spans="1:16">
      <c r="C64" s="27"/>
      <c r="D64" s="27"/>
      <c r="E64" s="27"/>
      <c r="F64" s="27"/>
      <c r="G64" s="27"/>
      <c r="H64" s="27"/>
      <c r="I64" s="27"/>
    </row>
    <row r="67" spans="1:1" ht="12.75" customHeight="1">
      <c r="A67" s="5" t="s">
        <v>32</v>
      </c>
    </row>
    <row r="68" spans="1:1">
      <c r="A68" t="s">
        <v>33</v>
      </c>
    </row>
  </sheetData>
  <mergeCells count="8">
    <mergeCell ref="C63:I64"/>
    <mergeCell ref="B53:H56"/>
    <mergeCell ref="H59:N60"/>
    <mergeCell ref="K28:N30"/>
    <mergeCell ref="K38:N44"/>
    <mergeCell ref="B31:H34"/>
    <mergeCell ref="B40:H43"/>
    <mergeCell ref="L46:N50"/>
  </mergeCell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7"/>
  <sheetViews>
    <sheetView topLeftCell="A22" zoomScaleNormal="100" workbookViewId="0">
      <selection activeCell="I23" sqref="I23"/>
    </sheetView>
  </sheetViews>
  <sheetFormatPr baseColWidth="10" defaultColWidth="11.6640625" defaultRowHeight="13.2"/>
  <cols>
    <col min="3" max="3" width="16.33203125" customWidth="1"/>
    <col min="4" max="4" width="15.109375" customWidth="1"/>
    <col min="5" max="5" width="13.6640625" customWidth="1"/>
    <col min="6" max="6" width="14" customWidth="1"/>
  </cols>
  <sheetData>
    <row r="1" spans="1:6">
      <c r="A1" s="6" t="s">
        <v>34</v>
      </c>
      <c r="B1" s="6" t="s">
        <v>35</v>
      </c>
      <c r="C1" s="6" t="s">
        <v>36</v>
      </c>
      <c r="D1" s="6" t="s">
        <v>6</v>
      </c>
      <c r="E1" s="6" t="s">
        <v>37</v>
      </c>
      <c r="F1" s="6" t="s">
        <v>8</v>
      </c>
    </row>
    <row r="2" spans="1:6">
      <c r="A2" s="7" t="s">
        <v>38</v>
      </c>
      <c r="B2" s="7" t="s">
        <v>39</v>
      </c>
      <c r="C2" s="7">
        <v>51.3611</v>
      </c>
      <c r="D2" s="7">
        <v>122.3027</v>
      </c>
      <c r="E2" s="7">
        <v>64.448269999999994</v>
      </c>
      <c r="F2" s="7">
        <v>68.799220000000005</v>
      </c>
    </row>
    <row r="3" spans="1:6">
      <c r="A3" s="7" t="s">
        <v>40</v>
      </c>
      <c r="B3" s="7" t="s">
        <v>41</v>
      </c>
      <c r="C3" s="7">
        <v>151.66139999999999</v>
      </c>
      <c r="D3" s="7">
        <v>422.95409999999998</v>
      </c>
      <c r="E3" s="7">
        <v>67.935299999999998</v>
      </c>
      <c r="F3" s="7">
        <v>69.775710000000004</v>
      </c>
    </row>
    <row r="4" spans="1:6">
      <c r="A4" s="7" t="s">
        <v>42</v>
      </c>
      <c r="B4" s="7" t="s">
        <v>43</v>
      </c>
      <c r="C4" s="7">
        <v>273.1157</v>
      </c>
      <c r="D4" s="7">
        <v>596.96339999999998</v>
      </c>
      <c r="E4" s="7">
        <v>73.26952</v>
      </c>
      <c r="F4" s="7">
        <v>73.757559999999998</v>
      </c>
    </row>
    <row r="5" spans="1:6">
      <c r="A5" s="7" t="s">
        <v>44</v>
      </c>
      <c r="B5" s="7" t="s">
        <v>45</v>
      </c>
      <c r="C5" s="7">
        <v>688.97130000000004</v>
      </c>
      <c r="D5" s="7">
        <v>695.46190000000001</v>
      </c>
      <c r="E5" s="7">
        <v>73.717969999999994</v>
      </c>
      <c r="F5" s="7">
        <v>75.292529999999999</v>
      </c>
    </row>
    <row r="6" spans="1:6">
      <c r="A6" s="7" t="s">
        <v>46</v>
      </c>
      <c r="B6" s="7" t="s">
        <v>47</v>
      </c>
      <c r="C6" s="7">
        <v>61.344569999999997</v>
      </c>
      <c r="D6" s="7">
        <v>74.985680000000002</v>
      </c>
      <c r="E6" s="7">
        <v>62.963679999999997</v>
      </c>
      <c r="F6" s="7">
        <v>65.658100000000005</v>
      </c>
    </row>
    <row r="7" spans="1:6">
      <c r="A7" s="7" t="s">
        <v>48</v>
      </c>
      <c r="B7" s="7" t="s">
        <v>49</v>
      </c>
      <c r="C7" s="7">
        <v>265.19099999999997</v>
      </c>
      <c r="D7" s="7">
        <v>720.50350000000003</v>
      </c>
      <c r="E7" s="7">
        <v>70.138270000000006</v>
      </c>
      <c r="F7" s="7">
        <v>72.427099999999996</v>
      </c>
    </row>
    <row r="8" spans="1:6">
      <c r="A8" s="7" t="s">
        <v>50</v>
      </c>
      <c r="B8" s="7" t="s">
        <v>51</v>
      </c>
      <c r="C8" s="7">
        <v>323.59179999999998</v>
      </c>
      <c r="D8" s="7">
        <v>761.95479999999998</v>
      </c>
      <c r="E8" s="7">
        <v>76.821730000000002</v>
      </c>
      <c r="F8" s="7">
        <v>78.647220000000004</v>
      </c>
    </row>
    <row r="9" spans="1:6">
      <c r="A9" s="7" t="s">
        <v>52</v>
      </c>
      <c r="B9" s="7" t="s">
        <v>53</v>
      </c>
      <c r="C9" s="7">
        <v>53.732100000000003</v>
      </c>
      <c r="D9" s="7">
        <v>215.89709999999999</v>
      </c>
      <c r="E9" s="7">
        <v>73.392049999999998</v>
      </c>
      <c r="F9" s="7">
        <v>75.150589999999994</v>
      </c>
    </row>
    <row r="10" spans="1:6">
      <c r="A10" s="7" t="s">
        <v>54</v>
      </c>
      <c r="B10" s="7" t="s">
        <v>55</v>
      </c>
      <c r="C10" s="7">
        <v>122.21299999999999</v>
      </c>
      <c r="D10" s="7">
        <v>161.48490000000001</v>
      </c>
      <c r="E10" s="7">
        <v>70.045199999999994</v>
      </c>
      <c r="F10" s="7">
        <v>71.861710000000002</v>
      </c>
    </row>
    <row r="11" spans="1:6">
      <c r="A11" s="7" t="s">
        <v>56</v>
      </c>
      <c r="B11" s="7" t="s">
        <v>57</v>
      </c>
      <c r="C11" s="7">
        <v>96.281700000000001</v>
      </c>
      <c r="D11" s="7">
        <v>200.2278</v>
      </c>
      <c r="E11" s="7">
        <v>70.476259999999996</v>
      </c>
      <c r="F11" s="7">
        <v>73.305710000000005</v>
      </c>
    </row>
    <row r="12" spans="1:6">
      <c r="A12" s="7" t="s">
        <v>58</v>
      </c>
      <c r="B12" s="7" t="s">
        <v>59</v>
      </c>
      <c r="C12" s="7">
        <v>772.83659999999998</v>
      </c>
      <c r="D12" s="7">
        <v>724.5634</v>
      </c>
      <c r="E12" s="7">
        <v>74.886830000000003</v>
      </c>
      <c r="F12" s="7">
        <v>75.980729999999994</v>
      </c>
    </row>
    <row r="13" spans="1:6">
      <c r="A13" s="7" t="s">
        <v>60</v>
      </c>
      <c r="B13" s="7" t="s">
        <v>61</v>
      </c>
      <c r="C13" s="7">
        <v>2082.2669999999998</v>
      </c>
      <c r="D13" s="7">
        <v>4445.4629999999997</v>
      </c>
      <c r="E13" s="7">
        <v>79.236590000000007</v>
      </c>
      <c r="F13" s="7">
        <v>80.964870000000005</v>
      </c>
    </row>
    <row r="14" spans="1:6">
      <c r="A14" s="7" t="s">
        <v>62</v>
      </c>
      <c r="B14" s="7" t="s">
        <v>63</v>
      </c>
      <c r="C14" s="7">
        <v>95.103840000000005</v>
      </c>
      <c r="D14" s="7">
        <v>183.98429999999999</v>
      </c>
      <c r="E14" s="7">
        <v>67.744169999999997</v>
      </c>
      <c r="F14" s="7">
        <v>70.352339999999998</v>
      </c>
    </row>
    <row r="15" spans="1:6">
      <c r="A15" s="7" t="s">
        <v>64</v>
      </c>
      <c r="B15" s="7" t="s">
        <v>65</v>
      </c>
      <c r="C15" s="7">
        <v>324.25349999999997</v>
      </c>
      <c r="D15" s="7">
        <v>588.05640000000005</v>
      </c>
      <c r="E15" s="7">
        <v>74.274249999999995</v>
      </c>
      <c r="F15" s="7">
        <v>76.236339999999998</v>
      </c>
    </row>
    <row r="16" spans="1:6">
      <c r="A16" s="7" t="s">
        <v>66</v>
      </c>
      <c r="B16" s="7" t="s">
        <v>67</v>
      </c>
      <c r="C16" s="7">
        <v>170.0684</v>
      </c>
      <c r="D16" s="7">
        <v>261.32909999999998</v>
      </c>
      <c r="E16" s="7">
        <v>70.893709999999999</v>
      </c>
      <c r="F16" s="7">
        <v>72.728949999999998</v>
      </c>
    </row>
    <row r="17" spans="1:6">
      <c r="A17" s="7" t="s">
        <v>68</v>
      </c>
      <c r="B17" s="7" t="s">
        <v>69</v>
      </c>
      <c r="C17" s="7">
        <v>25.671620000000001</v>
      </c>
      <c r="D17" s="7">
        <v>39.788490000000003</v>
      </c>
      <c r="E17" s="7">
        <v>58.372070000000001</v>
      </c>
      <c r="F17" s="7">
        <v>61.074779999999997</v>
      </c>
    </row>
    <row r="18" spans="1:6">
      <c r="A18" s="7" t="s">
        <v>70</v>
      </c>
      <c r="B18" s="7" t="s">
        <v>71</v>
      </c>
      <c r="C18" s="7">
        <v>190.49539999999999</v>
      </c>
      <c r="D18" s="7">
        <v>256.47160000000002</v>
      </c>
      <c r="E18" s="7">
        <v>70.472290000000001</v>
      </c>
      <c r="F18" s="7">
        <v>72.32302</v>
      </c>
    </row>
    <row r="19" spans="1:6">
      <c r="A19" s="7" t="s">
        <v>72</v>
      </c>
      <c r="B19" s="7" t="s">
        <v>73</v>
      </c>
      <c r="C19" s="7">
        <v>161.1583</v>
      </c>
      <c r="D19" s="7">
        <v>317.36290000000002</v>
      </c>
      <c r="E19" s="7">
        <v>71.000979999999998</v>
      </c>
      <c r="F19" s="7">
        <v>72.984340000000003</v>
      </c>
    </row>
    <row r="20" spans="1:6">
      <c r="A20" s="7" t="s">
        <v>74</v>
      </c>
      <c r="B20" s="7" t="s">
        <v>75</v>
      </c>
      <c r="C20" s="7">
        <v>264.72199999999998</v>
      </c>
      <c r="D20" s="7">
        <v>618.15049999999997</v>
      </c>
      <c r="E20" s="7">
        <v>77.804069999999996</v>
      </c>
      <c r="F20" s="7">
        <v>78.946269999999998</v>
      </c>
    </row>
    <row r="21" spans="1:6">
      <c r="A21" s="7" t="s">
        <v>76</v>
      </c>
      <c r="B21" s="7" t="s">
        <v>77</v>
      </c>
      <c r="C21" s="7">
        <v>184.1857</v>
      </c>
      <c r="D21" s="7">
        <v>671.5018</v>
      </c>
      <c r="E21" s="7">
        <v>76.365809999999996</v>
      </c>
      <c r="F21" s="7">
        <v>78.547420000000002</v>
      </c>
    </row>
    <row r="22" spans="1:6">
      <c r="A22" s="7" t="s">
        <v>78</v>
      </c>
      <c r="B22" s="7" t="s">
        <v>79</v>
      </c>
      <c r="C22" s="7">
        <v>176.39089999999999</v>
      </c>
      <c r="D22" s="7">
        <v>216.92529999999999</v>
      </c>
      <c r="E22" s="7">
        <v>69.701610000000002</v>
      </c>
      <c r="F22" s="7">
        <v>71.310869999999994</v>
      </c>
    </row>
    <row r="23" spans="1:6">
      <c r="A23" s="7" t="s">
        <v>80</v>
      </c>
      <c r="B23" s="7" t="s">
        <v>81</v>
      </c>
      <c r="C23" s="7">
        <v>62.045729999999999</v>
      </c>
      <c r="D23" s="7">
        <v>120.621</v>
      </c>
      <c r="E23" s="7">
        <v>70.38203</v>
      </c>
      <c r="F23" s="7">
        <v>72.240970000000004</v>
      </c>
    </row>
    <row r="24" spans="1:6">
      <c r="A24" s="7" t="s">
        <v>82</v>
      </c>
      <c r="B24" s="7" t="s">
        <v>83</v>
      </c>
      <c r="C24" s="7">
        <v>53.985939999999999</v>
      </c>
      <c r="D24" s="7">
        <v>105.0827</v>
      </c>
      <c r="E24" s="7">
        <v>69.64573</v>
      </c>
      <c r="F24" s="7">
        <v>73.110799999999998</v>
      </c>
    </row>
    <row r="25" spans="1:6">
      <c r="A25" s="7" t="s">
        <v>84</v>
      </c>
      <c r="B25" s="7" t="s">
        <v>85</v>
      </c>
      <c r="C25" s="7">
        <v>305.7475</v>
      </c>
      <c r="D25" s="7">
        <v>493.17070000000001</v>
      </c>
      <c r="E25" s="7">
        <v>74.223140000000001</v>
      </c>
      <c r="F25" s="7">
        <v>75.629320000000007</v>
      </c>
    </row>
    <row r="26" spans="1:6">
      <c r="A26" s="7" t="s">
        <v>86</v>
      </c>
      <c r="B26" s="7" t="s">
        <v>87</v>
      </c>
      <c r="C26" s="7">
        <v>2995.712</v>
      </c>
      <c r="D26" s="7">
        <v>4861.53</v>
      </c>
      <c r="E26" s="7">
        <v>79.660849999999996</v>
      </c>
      <c r="F26" s="7">
        <v>81.258539999999996</v>
      </c>
    </row>
    <row r="27" spans="1:6">
      <c r="A27" s="7" t="s">
        <v>88</v>
      </c>
      <c r="B27" s="7" t="s">
        <v>89</v>
      </c>
      <c r="C27" s="7">
        <v>1538.078</v>
      </c>
      <c r="D27" s="7">
        <v>5252.7730000000001</v>
      </c>
      <c r="E27" s="7">
        <v>76.540729999999996</v>
      </c>
      <c r="F27" s="7">
        <v>79.141459999999995</v>
      </c>
    </row>
    <row r="28" spans="1:6">
      <c r="A28" s="7" t="s">
        <v>90</v>
      </c>
      <c r="B28" s="7" t="s">
        <v>91</v>
      </c>
      <c r="C28" s="7">
        <v>1766.673</v>
      </c>
      <c r="D28" s="7">
        <v>3771.4349999999999</v>
      </c>
      <c r="E28" s="7">
        <v>77.741460000000004</v>
      </c>
      <c r="F28" s="7">
        <v>79.599999999999994</v>
      </c>
    </row>
    <row r="29" spans="1:6">
      <c r="A29" s="7" t="s">
        <v>92</v>
      </c>
      <c r="B29" s="7" t="s">
        <v>93</v>
      </c>
      <c r="C29" s="7">
        <v>56.95129</v>
      </c>
      <c r="D29" s="7">
        <v>152.29859999999999</v>
      </c>
      <c r="E29" s="7">
        <v>69.448269999999994</v>
      </c>
      <c r="F29" s="7">
        <v>73.336200000000005</v>
      </c>
    </row>
    <row r="30" spans="1:6">
      <c r="A30" s="7" t="s">
        <v>94</v>
      </c>
      <c r="B30" s="7" t="s">
        <v>95</v>
      </c>
      <c r="C30" s="7">
        <v>30.483630000000002</v>
      </c>
      <c r="D30" s="7">
        <v>60.795470000000002</v>
      </c>
      <c r="E30" s="7">
        <v>50.160879999999999</v>
      </c>
      <c r="F30" s="7">
        <v>53.37771</v>
      </c>
    </row>
    <row r="31" spans="1:6">
      <c r="A31" s="7" t="s">
        <v>96</v>
      </c>
      <c r="B31" s="7" t="s">
        <v>97</v>
      </c>
      <c r="C31" s="7">
        <v>18.43608</v>
      </c>
      <c r="D31" s="7">
        <v>55.44659</v>
      </c>
      <c r="E31" s="7">
        <v>58.382240000000003</v>
      </c>
      <c r="F31" s="7">
        <v>62.873510000000003</v>
      </c>
    </row>
    <row r="32" spans="1:6">
      <c r="A32" s="7" t="s">
        <v>98</v>
      </c>
      <c r="B32" s="7" t="s">
        <v>99</v>
      </c>
      <c r="C32" s="7">
        <v>18.52966</v>
      </c>
      <c r="D32" s="7">
        <v>26.497959999999999</v>
      </c>
      <c r="E32" s="7">
        <v>45.964320000000001</v>
      </c>
      <c r="F32" s="7">
        <v>54.727629999999998</v>
      </c>
    </row>
    <row r="33" spans="1:6">
      <c r="A33" s="7" t="s">
        <v>100</v>
      </c>
      <c r="B33" s="7" t="s">
        <v>101</v>
      </c>
      <c r="C33" s="7">
        <v>53.689369999999997</v>
      </c>
      <c r="D33" s="7">
        <v>149.4796</v>
      </c>
      <c r="E33" s="7">
        <v>68.675150000000002</v>
      </c>
      <c r="F33" s="7">
        <v>71.307749999999999</v>
      </c>
    </row>
    <row r="34" spans="1:6">
      <c r="A34" s="7" t="s">
        <v>102</v>
      </c>
      <c r="B34" s="7" t="s">
        <v>103</v>
      </c>
      <c r="C34" s="7">
        <v>967.37339999999995</v>
      </c>
      <c r="D34" s="7">
        <v>2433.855</v>
      </c>
      <c r="E34" s="7">
        <v>76.314639999999997</v>
      </c>
      <c r="F34" s="7">
        <v>78.524389999999997</v>
      </c>
    </row>
    <row r="35" spans="1:6">
      <c r="A35" s="7" t="s">
        <v>104</v>
      </c>
      <c r="B35" s="7" t="s">
        <v>105</v>
      </c>
      <c r="C35" s="7">
        <v>1030.0630000000001</v>
      </c>
      <c r="D35" s="7">
        <v>3132.3580000000002</v>
      </c>
      <c r="E35" s="7">
        <v>78.965850000000003</v>
      </c>
      <c r="F35" s="7">
        <v>81.175610000000006</v>
      </c>
    </row>
    <row r="36" spans="1:6">
      <c r="A36" s="7" t="s">
        <v>106</v>
      </c>
      <c r="B36" s="7" t="s">
        <v>107</v>
      </c>
      <c r="C36" s="7">
        <v>11.472770000000001</v>
      </c>
      <c r="D36" s="7">
        <v>37.187130000000003</v>
      </c>
      <c r="E36" s="7">
        <v>50.20129</v>
      </c>
      <c r="F36" s="7">
        <v>53.982489999999999</v>
      </c>
    </row>
    <row r="37" spans="1:6">
      <c r="A37" s="7" t="s">
        <v>108</v>
      </c>
      <c r="B37" s="7" t="s">
        <v>109</v>
      </c>
      <c r="C37" s="7">
        <v>19.493020000000001</v>
      </c>
      <c r="D37" s="7">
        <v>21.324339999999999</v>
      </c>
      <c r="E37" s="7">
        <v>48.110149999999997</v>
      </c>
      <c r="F37" s="7">
        <v>52.687240000000003</v>
      </c>
    </row>
    <row r="38" spans="1:6">
      <c r="A38" s="7" t="s">
        <v>110</v>
      </c>
      <c r="B38" s="7" t="s">
        <v>111</v>
      </c>
      <c r="C38" s="7">
        <v>9.6451200000000004</v>
      </c>
      <c r="D38" s="7">
        <v>17.485050000000001</v>
      </c>
      <c r="E38" s="7">
        <v>44.884880000000003</v>
      </c>
      <c r="F38" s="7">
        <v>46.959269999999997</v>
      </c>
    </row>
    <row r="39" spans="1:6">
      <c r="A39" s="7" t="s">
        <v>112</v>
      </c>
      <c r="B39" s="7" t="s">
        <v>113</v>
      </c>
      <c r="C39" s="7">
        <v>15.87994</v>
      </c>
      <c r="D39" s="7">
        <v>38.73019</v>
      </c>
      <c r="E39" s="7">
        <v>47.243270000000003</v>
      </c>
      <c r="F39" s="7">
        <v>50.120190000000001</v>
      </c>
    </row>
    <row r="40" spans="1:6">
      <c r="A40" s="7" t="s">
        <v>114</v>
      </c>
      <c r="B40" s="7" t="s">
        <v>115</v>
      </c>
      <c r="C40" s="7">
        <v>16.020099999999999</v>
      </c>
      <c r="D40" s="7">
        <v>27.155159999999999</v>
      </c>
      <c r="E40" s="7">
        <v>56.994779999999999</v>
      </c>
      <c r="F40" s="7">
        <v>57.668239999999997</v>
      </c>
    </row>
    <row r="41" spans="1:6">
      <c r="A41" s="7" t="s">
        <v>116</v>
      </c>
      <c r="B41" s="7" t="s">
        <v>117</v>
      </c>
      <c r="C41" s="7">
        <v>20.466899999999999</v>
      </c>
      <c r="D41" s="7">
        <v>61.92859</v>
      </c>
      <c r="E41" s="7">
        <v>55.739240000000002</v>
      </c>
      <c r="F41" s="7">
        <v>58.309359999999998</v>
      </c>
    </row>
    <row r="42" spans="1:6">
      <c r="A42" s="7" t="s">
        <v>118</v>
      </c>
      <c r="B42" s="7" t="s">
        <v>119</v>
      </c>
      <c r="C42" s="7">
        <v>21.99156</v>
      </c>
      <c r="D42" s="7">
        <v>46.860680000000002</v>
      </c>
      <c r="E42" s="7">
        <v>39.731589999999997</v>
      </c>
      <c r="F42" s="7">
        <v>46.425269999999998</v>
      </c>
    </row>
    <row r="43" spans="1:6">
      <c r="A43" s="7" t="s">
        <v>120</v>
      </c>
      <c r="B43" s="7" t="s">
        <v>121</v>
      </c>
      <c r="C43" s="7">
        <v>18.686589999999999</v>
      </c>
      <c r="D43" s="7">
        <v>27.094629999999999</v>
      </c>
      <c r="E43" s="7">
        <v>55.156759999999998</v>
      </c>
      <c r="F43" s="7">
        <v>57.524239999999999</v>
      </c>
    </row>
    <row r="44" spans="1:6">
      <c r="A44" s="7" t="s">
        <v>122</v>
      </c>
      <c r="B44" s="7" t="s">
        <v>123</v>
      </c>
      <c r="C44" s="7">
        <v>43.880299999999998</v>
      </c>
      <c r="D44" s="7">
        <v>80.048199999999994</v>
      </c>
      <c r="E44" s="7">
        <v>53.850340000000003</v>
      </c>
      <c r="F44" s="7">
        <v>56.755099999999999</v>
      </c>
    </row>
    <row r="45" spans="1:6">
      <c r="A45" s="7" t="s">
        <v>124</v>
      </c>
      <c r="B45" s="7" t="s">
        <v>125</v>
      </c>
      <c r="C45" s="7">
        <v>9.1138919999999999</v>
      </c>
      <c r="D45" s="7">
        <v>9.6017430000000008</v>
      </c>
      <c r="E45" s="7">
        <v>56.024970000000003</v>
      </c>
      <c r="F45" s="7">
        <v>60.105269999999997</v>
      </c>
    </row>
    <row r="46" spans="1:6">
      <c r="A46" s="7" t="s">
        <v>126</v>
      </c>
      <c r="B46" s="7" t="s">
        <v>127</v>
      </c>
      <c r="C46" s="7">
        <v>5.3228140000000002</v>
      </c>
      <c r="D46" s="7">
        <v>13.82316</v>
      </c>
      <c r="E46" s="7">
        <v>51.710120000000003</v>
      </c>
      <c r="F46" s="7">
        <v>57.450780000000002</v>
      </c>
    </row>
    <row r="47" spans="1:6">
      <c r="A47" s="7" t="s">
        <v>128</v>
      </c>
      <c r="B47" s="7" t="s">
        <v>129</v>
      </c>
      <c r="C47" s="7">
        <v>22.338239999999999</v>
      </c>
      <c r="D47" s="7">
        <v>73.422809999999998</v>
      </c>
      <c r="E47" s="7">
        <v>63.121339999999996</v>
      </c>
      <c r="F47" s="7">
        <v>67.486239999999995</v>
      </c>
    </row>
    <row r="48" spans="1:6">
      <c r="A48" s="7" t="s">
        <v>130</v>
      </c>
      <c r="B48" s="7" t="s">
        <v>131</v>
      </c>
      <c r="C48" s="7">
        <v>11.931179999999999</v>
      </c>
      <c r="D48" s="7">
        <v>96.903649999999999</v>
      </c>
      <c r="E48" s="7">
        <v>56.9741</v>
      </c>
      <c r="F48" s="7">
        <v>60.477930000000001</v>
      </c>
    </row>
    <row r="49" spans="1:6">
      <c r="A49" s="7" t="s">
        <v>132</v>
      </c>
      <c r="B49" s="7" t="s">
        <v>133</v>
      </c>
      <c r="C49" s="7">
        <v>15.47443</v>
      </c>
      <c r="D49" s="7">
        <v>43.726430000000001</v>
      </c>
      <c r="E49" s="7">
        <v>46.091679999999997</v>
      </c>
      <c r="F49" s="7">
        <v>52.439979999999998</v>
      </c>
    </row>
    <row r="50" spans="1:6">
      <c r="A50" s="7" t="s">
        <v>134</v>
      </c>
      <c r="B50" s="7" t="s">
        <v>135</v>
      </c>
      <c r="C50" s="7">
        <v>15.89785</v>
      </c>
      <c r="D50" s="7">
        <v>108.87260000000001</v>
      </c>
      <c r="E50" s="7">
        <v>70.743480000000005</v>
      </c>
      <c r="F50" s="7">
        <v>67.871120000000005</v>
      </c>
    </row>
    <row r="51" spans="1:6">
      <c r="A51" s="7" t="s">
        <v>136</v>
      </c>
      <c r="B51" s="7" t="s">
        <v>137</v>
      </c>
      <c r="C51" s="7">
        <v>1450.8679999999999</v>
      </c>
      <c r="D51" s="7">
        <v>2092.6729999999998</v>
      </c>
      <c r="E51" s="7">
        <v>78.953659999999999</v>
      </c>
      <c r="F51" s="7">
        <v>81.002440000000007</v>
      </c>
    </row>
    <row r="52" spans="1:6">
      <c r="A52" s="7" t="s">
        <v>138</v>
      </c>
      <c r="B52" s="7" t="s">
        <v>139</v>
      </c>
      <c r="C52" s="7">
        <v>169.34479999999999</v>
      </c>
      <c r="D52" s="7">
        <v>325.12450000000001</v>
      </c>
      <c r="E52" s="7">
        <v>72.075029999999998</v>
      </c>
      <c r="F52" s="7">
        <v>73.016220000000004</v>
      </c>
    </row>
    <row r="53" spans="1:6">
      <c r="A53" s="7" t="s">
        <v>140</v>
      </c>
      <c r="B53" s="7" t="s">
        <v>141</v>
      </c>
      <c r="C53" s="7">
        <v>50.865969999999997</v>
      </c>
      <c r="D53" s="7">
        <v>332.71460000000002</v>
      </c>
      <c r="E53" s="7">
        <v>65.517070000000004</v>
      </c>
      <c r="F53" s="7">
        <v>67.021950000000004</v>
      </c>
    </row>
    <row r="54" spans="1:6">
      <c r="A54" s="7" t="s">
        <v>142</v>
      </c>
      <c r="B54" s="7" t="s">
        <v>143</v>
      </c>
      <c r="C54" s="7">
        <v>3145.502</v>
      </c>
      <c r="D54" s="7">
        <v>8018.8639999999996</v>
      </c>
      <c r="E54" s="7">
        <v>78.634150000000005</v>
      </c>
      <c r="F54" s="7">
        <v>80.592680000000001</v>
      </c>
    </row>
    <row r="55" spans="1:6">
      <c r="A55" s="7" t="s">
        <v>144</v>
      </c>
      <c r="B55" s="7" t="s">
        <v>145</v>
      </c>
      <c r="C55" s="7">
        <v>96.007840000000002</v>
      </c>
      <c r="D55" s="7">
        <v>568.10329999999999</v>
      </c>
      <c r="E55" s="7">
        <v>65.341459999999998</v>
      </c>
      <c r="F55" s="7">
        <v>67.848780000000005</v>
      </c>
    </row>
    <row r="56" spans="1:6">
      <c r="A56" s="7" t="s">
        <v>146</v>
      </c>
      <c r="B56" s="7" t="s">
        <v>147</v>
      </c>
      <c r="C56" s="7">
        <v>2277.415</v>
      </c>
      <c r="D56" s="7">
        <v>4857.7749999999996</v>
      </c>
      <c r="E56" s="7">
        <v>79.643910000000005</v>
      </c>
      <c r="F56" s="7">
        <v>81.099999999999994</v>
      </c>
    </row>
    <row r="57" spans="1:6">
      <c r="A57" s="7" t="s">
        <v>148</v>
      </c>
      <c r="B57" s="7" t="s">
        <v>149</v>
      </c>
      <c r="C57" s="7">
        <v>62.664549999999998</v>
      </c>
      <c r="D57" s="7">
        <v>271.70030000000003</v>
      </c>
      <c r="E57" s="7">
        <v>70.024169999999998</v>
      </c>
      <c r="F57" s="7">
        <v>72.389049999999997</v>
      </c>
    </row>
    <row r="58" spans="1:6">
      <c r="A58" s="7" t="s">
        <v>150</v>
      </c>
      <c r="B58" s="7" t="s">
        <v>151</v>
      </c>
      <c r="C58" s="7">
        <v>1289.154</v>
      </c>
      <c r="D58" s="7">
        <v>3330.7979999999998</v>
      </c>
      <c r="E58" s="7"/>
      <c r="F58" s="7"/>
    </row>
    <row r="59" spans="1:6">
      <c r="A59" s="7" t="s">
        <v>152</v>
      </c>
      <c r="B59" s="7" t="s">
        <v>153</v>
      </c>
      <c r="C59" s="7">
        <v>26.728429999999999</v>
      </c>
      <c r="D59" s="7">
        <v>65.002350000000007</v>
      </c>
      <c r="E59" s="7">
        <v>50.071269999999998</v>
      </c>
      <c r="F59" s="7">
        <v>50.160899999999998</v>
      </c>
    </row>
    <row r="60" spans="1:6">
      <c r="A60" s="7" t="s">
        <v>154</v>
      </c>
      <c r="B60" s="7" t="s">
        <v>155</v>
      </c>
      <c r="C60" s="7">
        <v>9.8523239999999994</v>
      </c>
      <c r="D60" s="7">
        <v>19.837720000000001</v>
      </c>
      <c r="E60" s="7">
        <v>43.663359999999997</v>
      </c>
      <c r="F60" s="7">
        <v>46.163240000000002</v>
      </c>
    </row>
    <row r="61" spans="1:6">
      <c r="A61" s="7" t="s">
        <v>156</v>
      </c>
      <c r="B61" s="7" t="s">
        <v>157</v>
      </c>
      <c r="C61" s="7">
        <v>211.69059999999999</v>
      </c>
      <c r="D61" s="7">
        <v>458.02710000000002</v>
      </c>
      <c r="E61" s="7">
        <v>72.530749999999998</v>
      </c>
      <c r="F61" s="7">
        <v>74.328999999999994</v>
      </c>
    </row>
    <row r="62" spans="1:6">
      <c r="A62" s="7" t="s">
        <v>158</v>
      </c>
      <c r="B62" s="7" t="s">
        <v>159</v>
      </c>
      <c r="C62" s="7">
        <v>122.4796</v>
      </c>
      <c r="D62" s="7">
        <v>248.07929999999999</v>
      </c>
      <c r="E62" s="7">
        <v>72.599999999999994</v>
      </c>
      <c r="F62" s="7">
        <v>74.302440000000004</v>
      </c>
    </row>
    <row r="63" spans="1:6">
      <c r="A63" s="7" t="s">
        <v>160</v>
      </c>
      <c r="B63" s="7" t="s">
        <v>161</v>
      </c>
      <c r="C63" s="7">
        <v>15.26689</v>
      </c>
      <c r="D63" s="7">
        <v>32.136890000000001</v>
      </c>
      <c r="E63" s="7">
        <v>52.565339999999999</v>
      </c>
      <c r="F63" s="7">
        <v>54.787320000000001</v>
      </c>
    </row>
    <row r="64" spans="1:6">
      <c r="A64" s="7" t="s">
        <v>162</v>
      </c>
      <c r="B64" s="7" t="s">
        <v>163</v>
      </c>
      <c r="C64" s="7">
        <v>10.34735</v>
      </c>
      <c r="D64" s="7">
        <v>49.131999999999998</v>
      </c>
      <c r="E64" s="7">
        <v>48.488979999999998</v>
      </c>
      <c r="F64" s="7">
        <v>48.60575</v>
      </c>
    </row>
    <row r="65" spans="1:6">
      <c r="A65" s="7" t="s">
        <v>164</v>
      </c>
      <c r="B65" s="7" t="s">
        <v>165</v>
      </c>
      <c r="C65" s="7">
        <v>42.405270000000002</v>
      </c>
      <c r="D65" s="7">
        <v>544.95830000000001</v>
      </c>
      <c r="E65" s="7">
        <v>48.690269999999998</v>
      </c>
      <c r="F65" s="7">
        <v>50.247219999999999</v>
      </c>
    </row>
    <row r="66" spans="1:6">
      <c r="A66" s="7" t="s">
        <v>166</v>
      </c>
      <c r="B66" s="7" t="s">
        <v>167</v>
      </c>
      <c r="C66" s="7">
        <v>5.4871840000000001</v>
      </c>
      <c r="D66" s="7">
        <v>21.38072</v>
      </c>
      <c r="E66" s="7">
        <v>48.266680000000001</v>
      </c>
      <c r="F66" s="7">
        <v>53.334490000000002</v>
      </c>
    </row>
    <row r="67" spans="1:6">
      <c r="A67" s="7" t="s">
        <v>168</v>
      </c>
      <c r="B67" s="7" t="s">
        <v>169</v>
      </c>
      <c r="C67" s="7">
        <v>16.950859999999999</v>
      </c>
      <c r="D67" s="7">
        <v>73.43777</v>
      </c>
      <c r="E67" s="7">
        <v>46.272320000000001</v>
      </c>
      <c r="F67" s="7">
        <v>50.479730000000004</v>
      </c>
    </row>
    <row r="68" spans="1:6">
      <c r="A68" s="7" t="s">
        <v>170</v>
      </c>
      <c r="B68" s="7" t="s">
        <v>171</v>
      </c>
      <c r="C68" s="7">
        <v>105.63979999999999</v>
      </c>
      <c r="D68" s="7">
        <v>505.745</v>
      </c>
      <c r="E68" s="7">
        <v>74.308120000000002</v>
      </c>
      <c r="F68" s="7">
        <v>75.106319999999997</v>
      </c>
    </row>
    <row r="69" spans="1:6">
      <c r="A69" s="7" t="s">
        <v>172</v>
      </c>
      <c r="B69" s="7" t="s">
        <v>173</v>
      </c>
      <c r="C69" s="7">
        <v>375.3965</v>
      </c>
      <c r="D69" s="7">
        <v>1229.7539999999999</v>
      </c>
      <c r="E69" s="7">
        <v>72.807810000000003</v>
      </c>
      <c r="F69" s="7">
        <v>75.912189999999995</v>
      </c>
    </row>
    <row r="70" spans="1:6">
      <c r="A70" s="7" t="s">
        <v>174</v>
      </c>
      <c r="B70" s="7" t="s">
        <v>175</v>
      </c>
      <c r="C70" s="7">
        <v>1546.8579999999999</v>
      </c>
      <c r="D70" s="7">
        <v>3342.8629999999998</v>
      </c>
      <c r="E70" s="7">
        <v>79.426829999999995</v>
      </c>
      <c r="F70" s="7">
        <v>81.385369999999995</v>
      </c>
    </row>
    <row r="71" spans="1:6">
      <c r="A71" s="7" t="s">
        <v>176</v>
      </c>
      <c r="B71" s="7" t="s">
        <v>177</v>
      </c>
      <c r="C71" s="7">
        <v>159.18899999999999</v>
      </c>
      <c r="D71" s="7">
        <v>328.42959999999999</v>
      </c>
      <c r="E71" s="7">
        <v>72.910219999999995</v>
      </c>
      <c r="F71" s="7">
        <v>74.267120000000006</v>
      </c>
    </row>
    <row r="72" spans="1:6">
      <c r="A72" s="7" t="s">
        <v>178</v>
      </c>
      <c r="B72" s="7" t="s">
        <v>179</v>
      </c>
      <c r="C72" s="7">
        <v>640.43060000000003</v>
      </c>
      <c r="D72" s="7">
        <v>1373.5060000000001</v>
      </c>
      <c r="E72" s="7">
        <v>78.2</v>
      </c>
      <c r="F72" s="7">
        <v>79.431709999999995</v>
      </c>
    </row>
    <row r="73" spans="1:6">
      <c r="A73" s="7" t="s">
        <v>180</v>
      </c>
      <c r="B73" s="7" t="s">
        <v>181</v>
      </c>
      <c r="C73" s="7">
        <v>94.98339</v>
      </c>
      <c r="D73" s="7">
        <v>481.53309999999999</v>
      </c>
      <c r="E73" s="7">
        <v>71.663409999999999</v>
      </c>
      <c r="F73" s="7">
        <v>72.963419999999999</v>
      </c>
    </row>
    <row r="74" spans="1:6">
      <c r="A74" s="7" t="s">
        <v>182</v>
      </c>
      <c r="B74" s="7" t="s">
        <v>183</v>
      </c>
      <c r="C74" s="7">
        <v>740.21010000000001</v>
      </c>
      <c r="D74" s="7">
        <v>1908.6669999999999</v>
      </c>
      <c r="E74" s="7">
        <v>77.956919999999997</v>
      </c>
      <c r="F74" s="7">
        <v>79.021460000000005</v>
      </c>
    </row>
    <row r="75" spans="1:6">
      <c r="A75" s="7" t="s">
        <v>184</v>
      </c>
      <c r="B75" s="7" t="s">
        <v>185</v>
      </c>
      <c r="C75" s="7">
        <v>75.783959999999993</v>
      </c>
      <c r="D75" s="7">
        <v>97.263850000000005</v>
      </c>
      <c r="E75" s="7">
        <v>69.082660000000004</v>
      </c>
      <c r="F75" s="7">
        <v>72.475440000000006</v>
      </c>
    </row>
    <row r="76" spans="1:6">
      <c r="A76" s="7" t="s">
        <v>186</v>
      </c>
      <c r="B76" s="7" t="s">
        <v>187</v>
      </c>
      <c r="C76" s="7">
        <v>45.018569999999997</v>
      </c>
      <c r="D76" s="7">
        <v>257.99689999999998</v>
      </c>
      <c r="E76" s="7">
        <v>71.563100000000006</v>
      </c>
      <c r="F76" s="7">
        <v>72.984629999999996</v>
      </c>
    </row>
    <row r="77" spans="1:6">
      <c r="A77" s="7" t="s">
        <v>188</v>
      </c>
      <c r="B77" s="7" t="s">
        <v>189</v>
      </c>
      <c r="C77" s="7">
        <v>918.06100000000004</v>
      </c>
      <c r="D77" s="7">
        <v>3109.99</v>
      </c>
      <c r="E77" s="7">
        <v>77.887799999999999</v>
      </c>
      <c r="F77" s="7">
        <v>79.939030000000002</v>
      </c>
    </row>
    <row r="78" spans="1:6">
      <c r="A78" s="7" t="s">
        <v>190</v>
      </c>
      <c r="B78" s="7" t="s">
        <v>191</v>
      </c>
      <c r="C78" s="7">
        <v>487.85559999999998</v>
      </c>
      <c r="D78" s="7">
        <v>604.38710000000003</v>
      </c>
      <c r="E78" s="7">
        <v>70.637020000000007</v>
      </c>
      <c r="F78" s="7">
        <v>72.047319999999999</v>
      </c>
    </row>
    <row r="79" spans="1:6">
      <c r="A79" s="7" t="s">
        <v>192</v>
      </c>
      <c r="B79" s="7" t="s">
        <v>193</v>
      </c>
      <c r="C79" s="7">
        <v>57.344589999999997</v>
      </c>
      <c r="D79" s="7">
        <v>70.856250000000003</v>
      </c>
      <c r="E79" s="7">
        <v>74.018879999999996</v>
      </c>
      <c r="F79" s="7">
        <v>75.412610000000001</v>
      </c>
    </row>
    <row r="80" spans="1:6">
      <c r="A80" s="7" t="s">
        <v>194</v>
      </c>
      <c r="B80" s="7" t="s">
        <v>195</v>
      </c>
      <c r="C80" s="7">
        <v>204.4855</v>
      </c>
      <c r="D80" s="7">
        <v>623.27610000000004</v>
      </c>
      <c r="E80" s="7">
        <v>69.446879999999993</v>
      </c>
      <c r="F80" s="7">
        <v>73.129630000000006</v>
      </c>
    </row>
    <row r="81" spans="1:6">
      <c r="A81" s="7" t="s">
        <v>196</v>
      </c>
      <c r="B81" s="7" t="s">
        <v>197</v>
      </c>
      <c r="C81" s="7">
        <v>2361.02</v>
      </c>
      <c r="D81" s="7">
        <v>5200.884</v>
      </c>
      <c r="E81" s="7">
        <v>78.026830000000004</v>
      </c>
      <c r="F81" s="7">
        <v>80.23415</v>
      </c>
    </row>
    <row r="82" spans="1:6">
      <c r="A82" s="7" t="s">
        <v>198</v>
      </c>
      <c r="B82" s="7" t="s">
        <v>199</v>
      </c>
      <c r="C82" s="7">
        <v>361.61259999999999</v>
      </c>
      <c r="D82" s="7">
        <v>1468.646</v>
      </c>
      <c r="E82" s="7">
        <v>74.968289999999996</v>
      </c>
      <c r="F82" s="7">
        <v>76.975610000000003</v>
      </c>
    </row>
    <row r="83" spans="1:6">
      <c r="A83" s="7" t="s">
        <v>200</v>
      </c>
      <c r="B83" s="7" t="s">
        <v>201</v>
      </c>
      <c r="C83" s="7">
        <v>2474.1080000000002</v>
      </c>
      <c r="D83" s="7">
        <v>6133.3620000000001</v>
      </c>
      <c r="E83" s="7">
        <v>76.592680000000001</v>
      </c>
      <c r="F83" s="7">
        <v>78.446340000000006</v>
      </c>
    </row>
    <row r="84" spans="1:6">
      <c r="A84" s="7" t="s">
        <v>202</v>
      </c>
      <c r="B84" s="7" t="s">
        <v>203</v>
      </c>
      <c r="C84" s="7">
        <v>326.36709999999999</v>
      </c>
      <c r="D84" s="7">
        <v>1119.1189999999999</v>
      </c>
      <c r="E84" s="7">
        <v>71.246340000000004</v>
      </c>
      <c r="F84" s="7">
        <v>73.702439999999996</v>
      </c>
    </row>
    <row r="85" spans="1:6">
      <c r="A85" s="7" t="s">
        <v>204</v>
      </c>
      <c r="B85" s="7" t="s">
        <v>205</v>
      </c>
      <c r="C85" s="7">
        <v>246.97620000000001</v>
      </c>
      <c r="D85" s="7">
        <v>971.30809999999997</v>
      </c>
      <c r="E85" s="7">
        <v>73.748779999999996</v>
      </c>
      <c r="F85" s="7">
        <v>75.543899999999994</v>
      </c>
    </row>
    <row r="86" spans="1:6">
      <c r="A86" s="7" t="s">
        <v>206</v>
      </c>
      <c r="B86" s="7" t="s">
        <v>207</v>
      </c>
      <c r="C86" s="7">
        <v>248.80260000000001</v>
      </c>
      <c r="D86" s="7">
        <v>1395.194</v>
      </c>
      <c r="E86" s="7">
        <v>73.051220000000001</v>
      </c>
      <c r="F86" s="7">
        <v>74.704880000000003</v>
      </c>
    </row>
    <row r="87" spans="1:6">
      <c r="A87" s="7" t="s">
        <v>208</v>
      </c>
      <c r="B87" s="7" t="s">
        <v>209</v>
      </c>
      <c r="C87" s="7">
        <v>829.37670000000003</v>
      </c>
      <c r="D87" s="7">
        <v>2238.078</v>
      </c>
      <c r="E87" s="7">
        <v>75.412189999999995</v>
      </c>
      <c r="F87" s="7">
        <v>78.76585</v>
      </c>
    </row>
    <row r="88" spans="1:6">
      <c r="A88" s="7" t="s">
        <v>210</v>
      </c>
      <c r="B88" s="7" t="s">
        <v>211</v>
      </c>
      <c r="C88" s="7">
        <v>2025.2750000000001</v>
      </c>
      <c r="D88" s="7">
        <v>5242.5870000000004</v>
      </c>
      <c r="E88" s="7">
        <v>78.173169999999999</v>
      </c>
      <c r="F88" s="7">
        <v>79.482929999999996</v>
      </c>
    </row>
    <row r="89" spans="1:6">
      <c r="A89" s="7" t="s">
        <v>212</v>
      </c>
      <c r="B89" s="7" t="s">
        <v>213</v>
      </c>
      <c r="C89" s="7">
        <v>2184.2570000000001</v>
      </c>
      <c r="D89" s="7">
        <v>4965.8180000000002</v>
      </c>
      <c r="E89" s="7">
        <v>78.958529999999996</v>
      </c>
      <c r="F89" s="7">
        <v>80.868290000000002</v>
      </c>
    </row>
    <row r="90" spans="1:6">
      <c r="A90" s="7" t="s">
        <v>214</v>
      </c>
      <c r="B90" s="7" t="s">
        <v>215</v>
      </c>
      <c r="C90" s="7">
        <v>2366.0509999999999</v>
      </c>
      <c r="D90" s="7">
        <v>4720.3810000000003</v>
      </c>
      <c r="E90" s="7">
        <v>77.926829999999995</v>
      </c>
      <c r="F90" s="7">
        <v>79.736590000000007</v>
      </c>
    </row>
    <row r="91" spans="1:6">
      <c r="A91" s="7" t="s">
        <v>216</v>
      </c>
      <c r="B91" s="7" t="s">
        <v>217</v>
      </c>
      <c r="C91" s="7">
        <v>3437.7550000000001</v>
      </c>
      <c r="D91" s="7">
        <v>7998.018</v>
      </c>
      <c r="E91" s="7">
        <v>77.873170000000002</v>
      </c>
      <c r="F91" s="7">
        <v>80.087810000000005</v>
      </c>
    </row>
    <row r="92" spans="1:6">
      <c r="A92" s="7" t="s">
        <v>218</v>
      </c>
      <c r="B92" s="7" t="s">
        <v>219</v>
      </c>
      <c r="C92" s="7">
        <v>3518.893</v>
      </c>
      <c r="D92" s="7">
        <v>6987.6130000000003</v>
      </c>
      <c r="E92" s="7">
        <v>79.680490000000006</v>
      </c>
      <c r="F92" s="7">
        <v>81.992679999999993</v>
      </c>
    </row>
    <row r="93" spans="1:6">
      <c r="A93" s="7" t="s">
        <v>220</v>
      </c>
      <c r="B93" s="7" t="s">
        <v>221</v>
      </c>
      <c r="C93" s="7">
        <v>4703.4669999999996</v>
      </c>
      <c r="D93" s="7">
        <v>7163.8040000000001</v>
      </c>
      <c r="E93" s="7">
        <v>76.636589999999998</v>
      </c>
      <c r="F93" s="7">
        <v>77.939030000000002</v>
      </c>
    </row>
    <row r="94" spans="1:6">
      <c r="A94" s="7" t="s">
        <v>222</v>
      </c>
      <c r="B94" s="7" t="s">
        <v>223</v>
      </c>
      <c r="C94" s="7">
        <v>66.434719999999999</v>
      </c>
      <c r="D94" s="7">
        <v>350.81330000000003</v>
      </c>
      <c r="E94" s="7">
        <v>68.912189999999995</v>
      </c>
      <c r="F94" s="7">
        <v>70.456100000000006</v>
      </c>
    </row>
    <row r="95" spans="1:6">
      <c r="A95" s="7" t="s">
        <v>224</v>
      </c>
      <c r="B95" s="7" t="s">
        <v>225</v>
      </c>
      <c r="C95" s="7">
        <v>219.6808</v>
      </c>
      <c r="D95" s="7">
        <v>1073.903</v>
      </c>
      <c r="E95" s="7">
        <v>70.417079999999999</v>
      </c>
      <c r="F95" s="7">
        <v>73.77073</v>
      </c>
    </row>
    <row r="96" spans="1:6">
      <c r="A96" s="7" t="s">
        <v>226</v>
      </c>
      <c r="B96" s="7" t="s">
        <v>227</v>
      </c>
      <c r="C96" s="7">
        <v>1691.6679999999999</v>
      </c>
      <c r="D96" s="7">
        <v>4480.5290000000005</v>
      </c>
      <c r="E96" s="7">
        <v>77.465850000000003</v>
      </c>
      <c r="F96" s="7">
        <v>79.568290000000005</v>
      </c>
    </row>
    <row r="97" spans="1:6">
      <c r="A97" s="7" t="s">
        <v>228</v>
      </c>
      <c r="B97" s="7" t="s">
        <v>229</v>
      </c>
      <c r="C97" s="7">
        <v>197.60579999999999</v>
      </c>
      <c r="D97" s="7">
        <v>979.072</v>
      </c>
      <c r="E97" s="7">
        <v>70.314639999999997</v>
      </c>
      <c r="F97" s="7">
        <v>72.419510000000002</v>
      </c>
    </row>
    <row r="98" spans="1:6">
      <c r="A98" s="7" t="s">
        <v>230</v>
      </c>
      <c r="B98" s="7" t="s">
        <v>231</v>
      </c>
      <c r="C98" s="7">
        <v>212.9683</v>
      </c>
      <c r="D98" s="7">
        <v>930.96029999999996</v>
      </c>
      <c r="E98" s="7">
        <v>72.01952</v>
      </c>
      <c r="F98" s="7">
        <v>71.812190000000001</v>
      </c>
    </row>
    <row r="99" spans="1:6">
      <c r="A99" s="7" t="s">
        <v>232</v>
      </c>
      <c r="B99" s="7" t="s">
        <v>233</v>
      </c>
      <c r="C99" s="7">
        <v>21.749369999999999</v>
      </c>
      <c r="D99" s="7">
        <v>180.6523</v>
      </c>
      <c r="E99" s="7">
        <v>66.888270000000006</v>
      </c>
      <c r="F99" s="7">
        <v>68.348659999999995</v>
      </c>
    </row>
    <row r="100" spans="1:6">
      <c r="A100" s="7" t="s">
        <v>234</v>
      </c>
      <c r="B100" s="7" t="s">
        <v>235</v>
      </c>
      <c r="C100" s="7">
        <v>86.724090000000004</v>
      </c>
      <c r="D100" s="7">
        <v>516.78110000000004</v>
      </c>
      <c r="E100" s="7">
        <v>71.163409999999999</v>
      </c>
      <c r="F100" s="7">
        <v>72.565860000000001</v>
      </c>
    </row>
    <row r="101" spans="1:6">
      <c r="A101" s="7" t="s">
        <v>236</v>
      </c>
      <c r="B101" s="7" t="s">
        <v>237</v>
      </c>
      <c r="C101" s="7">
        <v>35.540120000000002</v>
      </c>
      <c r="D101" s="7">
        <v>267.97449999999998</v>
      </c>
      <c r="E101" s="7">
        <v>67.863410000000002</v>
      </c>
      <c r="F101" s="7">
        <v>68.251459999999994</v>
      </c>
    </row>
    <row r="102" spans="1:6">
      <c r="A102" s="7" t="s">
        <v>238</v>
      </c>
      <c r="B102" s="7" t="s">
        <v>239</v>
      </c>
      <c r="C102" s="7">
        <v>20.675329999999999</v>
      </c>
      <c r="D102" s="7">
        <v>45.272199999999998</v>
      </c>
      <c r="E102" s="7">
        <v>61.613880000000002</v>
      </c>
      <c r="F102" s="7">
        <v>64.42295</v>
      </c>
    </row>
    <row r="103" spans="1:6">
      <c r="A103" s="7" t="s">
        <v>240</v>
      </c>
      <c r="B103" s="7" t="s">
        <v>241</v>
      </c>
      <c r="C103" s="7">
        <v>199.57079999999999</v>
      </c>
      <c r="D103" s="7">
        <v>462.06450000000001</v>
      </c>
      <c r="E103" s="7">
        <v>70.374120000000005</v>
      </c>
      <c r="F103" s="7">
        <v>75.811049999999994</v>
      </c>
    </row>
    <row r="104" spans="1:6">
      <c r="A104" s="7" t="s">
        <v>242</v>
      </c>
      <c r="B104" s="7" t="s">
        <v>243</v>
      </c>
      <c r="C104" s="7">
        <v>248.79470000000001</v>
      </c>
      <c r="D104" s="7">
        <v>454.0829</v>
      </c>
      <c r="E104" s="7">
        <v>74.110290000000006</v>
      </c>
      <c r="F104" s="7">
        <v>72.998609999999999</v>
      </c>
    </row>
    <row r="105" spans="1:6">
      <c r="A105" s="7" t="s">
        <v>244</v>
      </c>
      <c r="B105" s="7" t="s">
        <v>245</v>
      </c>
      <c r="C105" s="7">
        <v>33.11918</v>
      </c>
      <c r="D105" s="7">
        <v>82.598029999999994</v>
      </c>
      <c r="E105" s="7">
        <v>70.984290000000001</v>
      </c>
      <c r="F105" s="7">
        <v>74.433269999999993</v>
      </c>
    </row>
    <row r="106" spans="1:6">
      <c r="A106" s="7" t="s">
        <v>246</v>
      </c>
      <c r="B106" s="7" t="s">
        <v>247</v>
      </c>
      <c r="C106" s="7">
        <v>45.059629999999999</v>
      </c>
      <c r="D106" s="7">
        <v>81.572680000000005</v>
      </c>
      <c r="E106" s="7">
        <v>63.895510000000002</v>
      </c>
      <c r="F106" s="7">
        <v>64.675700000000006</v>
      </c>
    </row>
    <row r="107" spans="1:6">
      <c r="A107" s="7" t="s">
        <v>248</v>
      </c>
      <c r="B107" s="7" t="s">
        <v>249</v>
      </c>
      <c r="C107" s="7">
        <v>31.705100000000002</v>
      </c>
      <c r="D107" s="7">
        <v>51.385959999999997</v>
      </c>
      <c r="E107" s="7">
        <v>66.950869999999995</v>
      </c>
      <c r="F107" s="7">
        <v>67.566980000000001</v>
      </c>
    </row>
    <row r="108" spans="1:6">
      <c r="A108" s="7" t="s">
        <v>250</v>
      </c>
      <c r="B108" s="7" t="s">
        <v>251</v>
      </c>
      <c r="C108" s="7">
        <v>24.639970000000002</v>
      </c>
      <c r="D108" s="7">
        <v>66.501530000000002</v>
      </c>
      <c r="E108" s="7">
        <v>59.68985</v>
      </c>
      <c r="F108" s="7">
        <v>64.139560000000003</v>
      </c>
    </row>
    <row r="109" spans="1:6">
      <c r="A109" s="7" t="s">
        <v>252</v>
      </c>
      <c r="B109" s="7" t="s">
        <v>253</v>
      </c>
      <c r="C109" s="7">
        <v>40.639420000000001</v>
      </c>
      <c r="D109" s="7">
        <v>142.8109</v>
      </c>
      <c r="E109" s="7">
        <v>70.989440000000002</v>
      </c>
      <c r="F109" s="7">
        <v>73.495949999999993</v>
      </c>
    </row>
    <row r="110" spans="1:6">
      <c r="A110" s="7" t="s">
        <v>254</v>
      </c>
      <c r="B110" s="7" t="s">
        <v>255</v>
      </c>
      <c r="C110" s="7">
        <v>30.355340000000002</v>
      </c>
      <c r="D110" s="7">
        <v>239.56200000000001</v>
      </c>
      <c r="E110" s="7">
        <v>66.757220000000004</v>
      </c>
      <c r="F110" s="7">
        <v>70.067859999999996</v>
      </c>
    </row>
    <row r="111" spans="1:6">
      <c r="A111" s="7" t="s">
        <v>256</v>
      </c>
      <c r="B111" s="7" t="s">
        <v>257</v>
      </c>
      <c r="C111" s="7">
        <v>487.69</v>
      </c>
      <c r="D111" s="7">
        <v>1044.028</v>
      </c>
      <c r="E111" s="7">
        <v>73.79607</v>
      </c>
      <c r="F111" s="7">
        <v>74.758610000000004</v>
      </c>
    </row>
    <row r="112" spans="1:6">
      <c r="A112" s="7" t="s">
        <v>258</v>
      </c>
      <c r="B112" s="7" t="s">
        <v>259</v>
      </c>
      <c r="C112" s="7">
        <v>225.6157</v>
      </c>
      <c r="D112" s="7">
        <v>254.303</v>
      </c>
      <c r="E112" s="7">
        <v>69.739660000000001</v>
      </c>
      <c r="F112" s="7">
        <v>72.219660000000005</v>
      </c>
    </row>
    <row r="113" spans="1:6">
      <c r="A113" s="7" t="s">
        <v>260</v>
      </c>
      <c r="B113" s="7" t="s">
        <v>261</v>
      </c>
      <c r="C113" s="7">
        <v>437.53070000000002</v>
      </c>
      <c r="D113" s="7">
        <v>989.83050000000003</v>
      </c>
      <c r="E113" s="7">
        <v>73.752489999999995</v>
      </c>
      <c r="F113" s="7">
        <v>74.378299999999996</v>
      </c>
    </row>
    <row r="114" spans="1:6">
      <c r="A114" s="7" t="s">
        <v>262</v>
      </c>
      <c r="B114" s="7" t="s">
        <v>263</v>
      </c>
      <c r="C114" s="7">
        <v>659.02499999999998</v>
      </c>
      <c r="D114" s="7">
        <v>1774.9549999999999</v>
      </c>
      <c r="E114" s="7">
        <v>76.303190000000001</v>
      </c>
      <c r="F114" s="7">
        <v>77.774510000000006</v>
      </c>
    </row>
    <row r="115" spans="1:6">
      <c r="A115" s="7" t="s">
        <v>264</v>
      </c>
      <c r="B115" s="7" t="s">
        <v>265</v>
      </c>
      <c r="C115" s="7">
        <v>385.74439999999998</v>
      </c>
      <c r="D115" s="7">
        <v>675.9982</v>
      </c>
      <c r="E115" s="7">
        <v>71.492099999999994</v>
      </c>
      <c r="F115" s="7">
        <v>73.402079999999998</v>
      </c>
    </row>
    <row r="116" spans="1:6">
      <c r="A116" s="7" t="s">
        <v>266</v>
      </c>
      <c r="B116" s="7" t="s">
        <v>267</v>
      </c>
      <c r="C116" s="7">
        <v>698.96749999999997</v>
      </c>
      <c r="D116" s="7">
        <v>1426.9570000000001</v>
      </c>
      <c r="E116" s="7">
        <v>74.61591</v>
      </c>
      <c r="F116" s="7">
        <v>76.221339999999998</v>
      </c>
    </row>
    <row r="117" spans="1:6">
      <c r="A117" s="7" t="s">
        <v>268</v>
      </c>
      <c r="B117" s="7" t="s">
        <v>269</v>
      </c>
      <c r="C117" s="7">
        <v>11.00906</v>
      </c>
      <c r="D117" s="7">
        <v>47.482840000000003</v>
      </c>
      <c r="E117" s="7">
        <v>45.292850000000001</v>
      </c>
      <c r="F117" s="7">
        <v>47.538559999999997</v>
      </c>
    </row>
    <row r="118" spans="1:6">
      <c r="A118" s="7" t="s">
        <v>270</v>
      </c>
      <c r="B118" s="7" t="s">
        <v>271</v>
      </c>
      <c r="C118" s="7">
        <v>12.932919999999999</v>
      </c>
      <c r="D118" s="7">
        <v>54.146180000000001</v>
      </c>
      <c r="E118" s="7">
        <v>68.558539999999994</v>
      </c>
      <c r="F118" s="7">
        <v>68.451220000000006</v>
      </c>
    </row>
    <row r="119" spans="1:6">
      <c r="A119" s="7" t="s">
        <v>272</v>
      </c>
      <c r="B119" s="7" t="s">
        <v>273</v>
      </c>
      <c r="C119" s="7">
        <v>11.8599</v>
      </c>
      <c r="D119" s="7">
        <v>24.357900000000001</v>
      </c>
      <c r="E119" s="7">
        <v>61.521630000000002</v>
      </c>
      <c r="F119" s="7">
        <v>67.527950000000004</v>
      </c>
    </row>
    <row r="120" spans="1:6">
      <c r="A120" s="7" t="s">
        <v>274</v>
      </c>
      <c r="B120" s="7" t="s">
        <v>275</v>
      </c>
      <c r="C120" s="7">
        <v>14.563610000000001</v>
      </c>
      <c r="D120" s="7">
        <v>21.610420000000001</v>
      </c>
      <c r="E120" s="7">
        <v>63.161949999999997</v>
      </c>
      <c r="F120" s="7">
        <v>64.721950000000007</v>
      </c>
    </row>
    <row r="121" spans="1:6">
      <c r="A121" s="7" t="s">
        <v>276</v>
      </c>
      <c r="B121" s="7" t="s">
        <v>277</v>
      </c>
      <c r="C121" s="7">
        <v>6.4702109999999999</v>
      </c>
      <c r="D121" s="7">
        <v>37.390389999999996</v>
      </c>
      <c r="E121" s="7">
        <v>63.755339999999997</v>
      </c>
      <c r="F121" s="7">
        <v>66.65598</v>
      </c>
    </row>
    <row r="122" spans="1:6">
      <c r="A122" s="7" t="s">
        <v>278</v>
      </c>
      <c r="B122" s="7" t="s">
        <v>279</v>
      </c>
      <c r="C122" s="7">
        <v>9.0932469999999999</v>
      </c>
      <c r="D122" s="7">
        <v>16.519380000000002</v>
      </c>
      <c r="E122" s="7">
        <v>64.730339999999998</v>
      </c>
      <c r="F122" s="7">
        <v>68.004019999999997</v>
      </c>
    </row>
    <row r="123" spans="1:6">
      <c r="A123" s="7" t="s">
        <v>280</v>
      </c>
      <c r="B123" s="7" t="s">
        <v>281</v>
      </c>
      <c r="C123" s="7">
        <v>52.560740000000003</v>
      </c>
      <c r="D123" s="7">
        <v>100.1259</v>
      </c>
      <c r="E123" s="7">
        <v>61.374220000000001</v>
      </c>
      <c r="F123" s="7">
        <v>66.151309999999995</v>
      </c>
    </row>
    <row r="124" spans="1:6">
      <c r="A124" s="7" t="s">
        <v>282</v>
      </c>
      <c r="B124" s="7" t="s">
        <v>283</v>
      </c>
      <c r="C124" s="7">
        <v>540.69899999999996</v>
      </c>
      <c r="D124" s="7">
        <v>833.73620000000005</v>
      </c>
      <c r="E124" s="7">
        <v>76.232339999999994</v>
      </c>
      <c r="F124" s="7">
        <v>77.662289999999999</v>
      </c>
    </row>
    <row r="125" spans="1:6">
      <c r="A125" s="7" t="s">
        <v>284</v>
      </c>
      <c r="B125" s="7" t="s">
        <v>285</v>
      </c>
      <c r="C125" s="7">
        <v>43.722209999999997</v>
      </c>
      <c r="D125" s="7">
        <v>146.11330000000001</v>
      </c>
      <c r="E125" s="7">
        <v>71.241709999999998</v>
      </c>
      <c r="F125" s="7">
        <v>72.835340000000002</v>
      </c>
    </row>
    <row r="126" spans="1:6">
      <c r="A126" s="7" t="s">
        <v>286</v>
      </c>
      <c r="B126" s="7" t="s">
        <v>287</v>
      </c>
      <c r="C126" s="7">
        <v>2827.451</v>
      </c>
      <c r="D126" s="7">
        <v>3189.7840000000001</v>
      </c>
      <c r="E126" s="7">
        <v>81.076099999999997</v>
      </c>
      <c r="F126" s="7">
        <v>82.587559999999996</v>
      </c>
    </row>
    <row r="127" spans="1:6">
      <c r="A127" s="7" t="s">
        <v>288</v>
      </c>
      <c r="B127" s="7" t="s">
        <v>289</v>
      </c>
      <c r="C127" s="7">
        <v>33.471699999999998</v>
      </c>
      <c r="D127" s="7">
        <v>68.025390000000002</v>
      </c>
      <c r="E127" s="7">
        <v>66.795140000000004</v>
      </c>
      <c r="F127" s="7">
        <v>67.988929999999996</v>
      </c>
    </row>
    <row r="128" spans="1:6">
      <c r="A128" s="7" t="s">
        <v>290</v>
      </c>
      <c r="B128" s="7" t="s">
        <v>291</v>
      </c>
      <c r="C128" s="7">
        <v>543.0566</v>
      </c>
      <c r="D128" s="7">
        <v>1244.952</v>
      </c>
      <c r="E128" s="7">
        <v>75.85548</v>
      </c>
      <c r="F128" s="7">
        <v>79.832679999999996</v>
      </c>
    </row>
    <row r="129" spans="1:6">
      <c r="A129" s="7" t="s">
        <v>292</v>
      </c>
      <c r="B129" s="7" t="s">
        <v>293</v>
      </c>
      <c r="C129" s="7">
        <v>16.544329999999999</v>
      </c>
      <c r="D129" s="7">
        <v>42.78886</v>
      </c>
      <c r="E129" s="7">
        <v>57.464149999999997</v>
      </c>
      <c r="F129" s="7">
        <v>61.580849999999998</v>
      </c>
    </row>
    <row r="130" spans="1:6">
      <c r="A130" s="7" t="s">
        <v>294</v>
      </c>
      <c r="B130" s="7" t="s">
        <v>295</v>
      </c>
      <c r="C130" s="7">
        <v>10.2392</v>
      </c>
      <c r="D130" s="7">
        <v>33.987180000000002</v>
      </c>
      <c r="E130" s="7">
        <v>61.39461</v>
      </c>
      <c r="F130" s="7">
        <v>66.184389999999993</v>
      </c>
    </row>
    <row r="131" spans="1:6">
      <c r="A131" s="7" t="s">
        <v>296</v>
      </c>
      <c r="B131" s="7" t="s">
        <v>297</v>
      </c>
      <c r="C131" s="7">
        <v>128.12049999999999</v>
      </c>
      <c r="D131" s="7">
        <v>353.2029</v>
      </c>
      <c r="E131" s="7">
        <v>72.142489999999995</v>
      </c>
      <c r="F131" s="7">
        <v>73.568119999999993</v>
      </c>
    </row>
    <row r="132" spans="1:6">
      <c r="A132" s="7" t="s">
        <v>298</v>
      </c>
      <c r="B132" s="7" t="s">
        <v>299</v>
      </c>
      <c r="C132" s="7">
        <v>3.263401</v>
      </c>
      <c r="D132" s="7">
        <v>9.9595990000000008</v>
      </c>
      <c r="E132" s="7">
        <v>61.855710000000002</v>
      </c>
      <c r="F132" s="7">
        <v>63.781759999999998</v>
      </c>
    </row>
    <row r="133" spans="1:6">
      <c r="A133" s="7" t="s">
        <v>300</v>
      </c>
      <c r="B133" s="7" t="s">
        <v>301</v>
      </c>
      <c r="C133" s="7">
        <v>648.25310000000002</v>
      </c>
      <c r="D133" s="7">
        <v>1403.653</v>
      </c>
      <c r="E133" s="7">
        <v>78.051220000000001</v>
      </c>
      <c r="F133" s="7">
        <v>80.79025</v>
      </c>
    </row>
    <row r="134" spans="1:6">
      <c r="A134" s="7" t="s">
        <v>302</v>
      </c>
      <c r="B134" s="7" t="s">
        <v>303</v>
      </c>
      <c r="C134" s="7">
        <v>66.836119999999994</v>
      </c>
      <c r="D134" s="7">
        <v>163.82660000000001</v>
      </c>
      <c r="E134" s="7">
        <v>72.515219999999999</v>
      </c>
      <c r="F134" s="7">
        <v>73.61327</v>
      </c>
    </row>
    <row r="135" spans="1:6">
      <c r="A135" s="7" t="s">
        <v>304</v>
      </c>
      <c r="B135" s="7" t="s">
        <v>305</v>
      </c>
      <c r="C135" s="7">
        <v>21.54214</v>
      </c>
      <c r="D135" s="7">
        <v>75.783779999999993</v>
      </c>
      <c r="E135" s="7">
        <v>71.945509999999999</v>
      </c>
      <c r="F135" s="7">
        <v>74.385459999999995</v>
      </c>
    </row>
    <row r="136" spans="1:6">
      <c r="A136" s="7" t="s">
        <v>306</v>
      </c>
      <c r="B136" s="7" t="s">
        <v>307</v>
      </c>
      <c r="C136" s="7">
        <v>154.92269999999999</v>
      </c>
      <c r="D136" s="7">
        <v>529.78899999999999</v>
      </c>
      <c r="E136" s="7">
        <v>50.76549</v>
      </c>
      <c r="F136" s="7">
        <v>52.663679999999999</v>
      </c>
    </row>
    <row r="137" spans="1:6">
      <c r="A137" s="7" t="s">
        <v>308</v>
      </c>
      <c r="B137" s="7" t="s">
        <v>309</v>
      </c>
      <c r="C137" s="7">
        <v>17.152249999999999</v>
      </c>
      <c r="D137" s="7">
        <v>33.112360000000002</v>
      </c>
      <c r="E137" s="7">
        <v>52.299630000000001</v>
      </c>
      <c r="F137" s="7">
        <v>55.124220000000001</v>
      </c>
    </row>
    <row r="138" spans="1:6">
      <c r="A138" s="7" t="s">
        <v>310</v>
      </c>
      <c r="B138" s="7" t="s">
        <v>311</v>
      </c>
      <c r="C138" s="7">
        <v>9.2018120000000003</v>
      </c>
      <c r="D138" s="7">
        <v>45.424689999999998</v>
      </c>
      <c r="E138" s="7">
        <v>46.510219999999997</v>
      </c>
      <c r="F138" s="7">
        <v>54.206200000000003</v>
      </c>
    </row>
    <row r="139" spans="1:6">
      <c r="A139" s="7" t="s">
        <v>312</v>
      </c>
      <c r="B139" s="7" t="s">
        <v>313</v>
      </c>
      <c r="C139" s="7">
        <v>10.07451</v>
      </c>
      <c r="D139" s="7">
        <v>22.14847</v>
      </c>
      <c r="E139" s="7">
        <v>50.373289999999997</v>
      </c>
      <c r="F139" s="7">
        <v>55.769440000000003</v>
      </c>
    </row>
    <row r="140" spans="1:6">
      <c r="A140" s="7" t="s">
        <v>314</v>
      </c>
      <c r="B140" s="7" t="s">
        <v>315</v>
      </c>
      <c r="C140" s="7">
        <v>17.528670000000002</v>
      </c>
      <c r="D140" s="7">
        <v>68.359409999999997</v>
      </c>
      <c r="E140" s="7">
        <v>41.929879999999997</v>
      </c>
      <c r="F140" s="7">
        <v>47.052439999999997</v>
      </c>
    </row>
    <row r="141" spans="1:6">
      <c r="A141" s="7" t="s">
        <v>316</v>
      </c>
      <c r="B141" s="7" t="s">
        <v>317</v>
      </c>
      <c r="C141" s="7">
        <v>27.844449999999998</v>
      </c>
      <c r="D141" s="7">
        <v>60.467730000000003</v>
      </c>
      <c r="E141" s="7">
        <v>47.586359999999999</v>
      </c>
      <c r="F141" s="7">
        <v>45.931559999999998</v>
      </c>
    </row>
    <row r="142" spans="1:6">
      <c r="A142" s="7" t="s">
        <v>318</v>
      </c>
      <c r="B142" s="7" t="s">
        <v>319</v>
      </c>
      <c r="C142" s="7">
        <v>8.8450159999999993</v>
      </c>
      <c r="D142" s="7">
        <v>17.900780000000001</v>
      </c>
      <c r="E142" s="7">
        <v>46.029730000000001</v>
      </c>
      <c r="F142" s="7">
        <v>51.804729999999999</v>
      </c>
    </row>
    <row r="143" spans="1:6">
      <c r="A143" s="7" t="s">
        <v>320</v>
      </c>
      <c r="B143" s="7" t="s">
        <v>321</v>
      </c>
      <c r="C143" s="7">
        <v>13.94979</v>
      </c>
      <c r="D143" s="7">
        <v>20.530740000000002</v>
      </c>
      <c r="E143" s="7">
        <v>47.237850000000002</v>
      </c>
      <c r="F143" s="7">
        <v>48.898389999999999</v>
      </c>
    </row>
    <row r="144" spans="1:6">
      <c r="A144" s="7" t="s">
        <v>322</v>
      </c>
      <c r="B144" s="7" t="s">
        <v>323</v>
      </c>
      <c r="C144" s="7">
        <v>250.6841</v>
      </c>
      <c r="D144" s="7">
        <v>458.68369999999999</v>
      </c>
      <c r="E144" s="7">
        <v>54.776319999999998</v>
      </c>
      <c r="F144" s="7">
        <v>51.240220000000001</v>
      </c>
    </row>
    <row r="145" spans="1:6">
      <c r="A145" s="7" t="s">
        <v>324</v>
      </c>
      <c r="B145" s="7" t="s">
        <v>325</v>
      </c>
      <c r="C145" s="7">
        <v>78.318709999999996</v>
      </c>
      <c r="D145" s="7">
        <v>141.3486</v>
      </c>
      <c r="E145" s="7">
        <v>48.67022</v>
      </c>
      <c r="F145" s="7">
        <v>47.341929999999998</v>
      </c>
    </row>
    <row r="146" spans="1:6">
      <c r="A146" s="7" t="s">
        <v>326</v>
      </c>
      <c r="B146" s="7" t="s">
        <v>327</v>
      </c>
      <c r="C146" s="7">
        <v>15.40122</v>
      </c>
      <c r="D146" s="7">
        <v>147.77590000000001</v>
      </c>
      <c r="E146" s="7">
        <v>45.204929999999997</v>
      </c>
      <c r="F146" s="7">
        <v>49.84742</v>
      </c>
    </row>
    <row r="147" spans="1:6">
      <c r="A147" s="7" t="s">
        <v>328</v>
      </c>
      <c r="B147" s="7" t="s">
        <v>329</v>
      </c>
      <c r="C147" s="7">
        <v>22.3931</v>
      </c>
      <c r="D147" s="7">
        <v>81.138630000000006</v>
      </c>
      <c r="E147" s="7">
        <v>54.145850000000003</v>
      </c>
      <c r="F147" s="7">
        <v>56.15934</v>
      </c>
    </row>
    <row r="148" spans="1:6">
      <c r="A148" s="7" t="s">
        <v>330</v>
      </c>
      <c r="B148" s="7" t="s">
        <v>331</v>
      </c>
      <c r="C148" s="7">
        <v>11.183820000000001</v>
      </c>
      <c r="D148" s="7">
        <v>13.324450000000001</v>
      </c>
      <c r="E148" s="7">
        <v>45.651899999999998</v>
      </c>
      <c r="F148" s="7">
        <v>47.557340000000003</v>
      </c>
    </row>
    <row r="149" spans="1:6">
      <c r="A149" s="7" t="s">
        <v>332</v>
      </c>
      <c r="B149" s="7" t="s">
        <v>333</v>
      </c>
      <c r="C149" s="7">
        <v>102.52</v>
      </c>
      <c r="D149" s="7">
        <v>263.72370000000001</v>
      </c>
      <c r="E149" s="7">
        <v>59.690950000000001</v>
      </c>
      <c r="F149" s="7">
        <v>61.381120000000003</v>
      </c>
    </row>
    <row r="150" spans="1:6">
      <c r="A150" s="7" t="s">
        <v>334</v>
      </c>
      <c r="B150" s="7" t="s">
        <v>335</v>
      </c>
      <c r="C150" s="7">
        <v>131.0155</v>
      </c>
      <c r="D150" s="7">
        <v>284.32940000000002</v>
      </c>
      <c r="E150" s="7">
        <v>57.657730000000001</v>
      </c>
      <c r="F150" s="7">
        <v>60.989339999999999</v>
      </c>
    </row>
    <row r="151" spans="1:6">
      <c r="A151" s="7" t="s">
        <v>336</v>
      </c>
      <c r="B151" s="7" t="s">
        <v>337</v>
      </c>
      <c r="C151" s="7">
        <v>1054.7149999999999</v>
      </c>
      <c r="D151" s="7">
        <v>2917.2930000000001</v>
      </c>
      <c r="E151" s="7">
        <v>78.636589999999998</v>
      </c>
      <c r="F151" s="7">
        <v>80.351219999999998</v>
      </c>
    </row>
    <row r="152" spans="1:6">
      <c r="A152" s="7" t="s">
        <v>338</v>
      </c>
      <c r="B152" s="7" t="s">
        <v>339</v>
      </c>
      <c r="C152" s="7">
        <v>9.4297009999999997</v>
      </c>
      <c r="D152" s="7">
        <v>21.734839999999998</v>
      </c>
      <c r="E152" s="7">
        <v>59.67456</v>
      </c>
      <c r="F152" s="7">
        <v>65.835530000000006</v>
      </c>
    </row>
    <row r="153" spans="1:6">
      <c r="A153" s="7" t="s">
        <v>340</v>
      </c>
      <c r="B153" s="7" t="s">
        <v>341</v>
      </c>
      <c r="C153" s="7">
        <v>15.842499999999999</v>
      </c>
      <c r="D153" s="7">
        <v>50.852600000000002</v>
      </c>
      <c r="E153" s="7">
        <v>65.646360000000001</v>
      </c>
      <c r="F153" s="7">
        <v>68.075149999999994</v>
      </c>
    </row>
    <row r="154" spans="1:6">
      <c r="A154" s="7" t="s">
        <v>342</v>
      </c>
      <c r="B154" s="7" t="s">
        <v>343</v>
      </c>
      <c r="C154" s="7">
        <v>1728.462</v>
      </c>
      <c r="D154" s="7">
        <v>4179.6480000000001</v>
      </c>
      <c r="E154" s="7">
        <v>79.23415</v>
      </c>
      <c r="F154" s="7">
        <v>81.395120000000006</v>
      </c>
    </row>
    <row r="155" spans="1:6">
      <c r="A155" s="7" t="s">
        <v>344</v>
      </c>
      <c r="B155" s="7" t="s">
        <v>345</v>
      </c>
      <c r="C155" s="7">
        <v>26.08306</v>
      </c>
      <c r="D155" s="7">
        <v>39.007370000000002</v>
      </c>
      <c r="E155" s="7">
        <v>58.795780000000001</v>
      </c>
      <c r="F155" s="7">
        <v>61.701169999999998</v>
      </c>
    </row>
    <row r="156" spans="1:6">
      <c r="A156" s="7" t="s">
        <v>346</v>
      </c>
      <c r="B156" s="7" t="s">
        <v>347</v>
      </c>
      <c r="C156" s="7">
        <v>44.420720000000003</v>
      </c>
      <c r="D156" s="7">
        <v>498.66559999999998</v>
      </c>
      <c r="E156" s="7">
        <v>72.136589999999998</v>
      </c>
      <c r="F156" s="7">
        <v>73.636589999999998</v>
      </c>
    </row>
    <row r="157" spans="1:6">
      <c r="A157" s="7" t="s">
        <v>348</v>
      </c>
      <c r="B157" s="7" t="s">
        <v>349</v>
      </c>
      <c r="C157" s="7">
        <v>1908.7090000000001</v>
      </c>
      <c r="D157" s="7">
        <v>5242.8959999999997</v>
      </c>
      <c r="E157" s="7">
        <v>77.987809999999996</v>
      </c>
      <c r="F157" s="7">
        <v>80.251220000000004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4135-B2D5-4E58-9B31-38FD19C5A8B0}">
  <dimension ref="A1:L157"/>
  <sheetViews>
    <sheetView zoomScaleNormal="100" workbookViewId="0">
      <selection activeCell="G7" sqref="G7:I7"/>
    </sheetView>
  </sheetViews>
  <sheetFormatPr baseColWidth="10" defaultRowHeight="13.2"/>
  <cols>
    <col min="3" max="3" width="17.5546875" customWidth="1"/>
    <col min="4" max="4" width="18" customWidth="1"/>
    <col min="5" max="5" width="14.77734375" customWidth="1"/>
    <col min="6" max="6" width="15.44140625" customWidth="1"/>
    <col min="8" max="8" width="20.5546875" customWidth="1"/>
    <col min="10" max="10" width="17.77734375" customWidth="1"/>
    <col min="12" max="12" width="17.44140625" customWidth="1"/>
  </cols>
  <sheetData>
    <row r="1" spans="1:12" ht="39.6">
      <c r="A1" s="8" t="s">
        <v>34</v>
      </c>
      <c r="B1" s="8" t="s">
        <v>35</v>
      </c>
      <c r="C1" s="8" t="s">
        <v>36</v>
      </c>
      <c r="D1" s="8" t="s">
        <v>6</v>
      </c>
      <c r="E1" s="8" t="s">
        <v>37</v>
      </c>
      <c r="F1" s="8" t="s">
        <v>8</v>
      </c>
      <c r="H1" s="11" t="s">
        <v>350</v>
      </c>
      <c r="J1" s="13" t="s">
        <v>351</v>
      </c>
      <c r="L1" s="15" t="s">
        <v>352</v>
      </c>
    </row>
    <row r="2" spans="1:12" ht="13.8">
      <c r="A2" s="8" t="s">
        <v>38</v>
      </c>
      <c r="B2" s="8" t="s">
        <v>39</v>
      </c>
      <c r="C2" s="9">
        <v>51.3611</v>
      </c>
      <c r="D2" s="9">
        <v>122.3027</v>
      </c>
      <c r="E2" s="9">
        <v>64.448269999999994</v>
      </c>
      <c r="F2" s="9">
        <v>68.799220000000005</v>
      </c>
      <c r="H2" s="12">
        <f>_xlfn.COVARIANCE.P(D2:D157,F2:F157)</f>
        <v>10068.164447548294</v>
      </c>
      <c r="J2" s="14">
        <f>_xlfn.STDEV.P(D2:D157)</f>
        <v>1758.4184224685462</v>
      </c>
      <c r="L2" s="16">
        <f>_xlfn.STDEV.P(F2:F157)</f>
        <v>10.302591350219776</v>
      </c>
    </row>
    <row r="3" spans="1:12">
      <c r="A3" s="8" t="s">
        <v>40</v>
      </c>
      <c r="B3" s="8" t="s">
        <v>41</v>
      </c>
      <c r="C3" s="9">
        <v>151.66139999999999</v>
      </c>
      <c r="D3" s="9">
        <v>422.95409999999998</v>
      </c>
      <c r="E3" s="9">
        <v>67.935299999999998</v>
      </c>
      <c r="F3" s="9">
        <v>69.775710000000004</v>
      </c>
    </row>
    <row r="4" spans="1:12">
      <c r="A4" s="8" t="s">
        <v>42</v>
      </c>
      <c r="B4" s="8" t="s">
        <v>43</v>
      </c>
      <c r="C4" s="9">
        <v>273.1157</v>
      </c>
      <c r="D4" s="9">
        <v>596.96339999999998</v>
      </c>
      <c r="E4" s="9">
        <v>73.26952</v>
      </c>
      <c r="F4" s="9">
        <v>73.757559999999998</v>
      </c>
    </row>
    <row r="5" spans="1:12">
      <c r="A5" s="8" t="s">
        <v>44</v>
      </c>
      <c r="B5" s="8" t="s">
        <v>45</v>
      </c>
      <c r="C5" s="9">
        <v>688.97130000000004</v>
      </c>
      <c r="D5" s="9">
        <v>695.46190000000001</v>
      </c>
      <c r="E5" s="9">
        <v>73.717969999999994</v>
      </c>
      <c r="F5" s="9">
        <v>75.292529999999999</v>
      </c>
    </row>
    <row r="6" spans="1:12">
      <c r="A6" s="8" t="s">
        <v>46</v>
      </c>
      <c r="B6" s="8" t="s">
        <v>47</v>
      </c>
      <c r="C6" s="9">
        <v>61.344569999999997</v>
      </c>
      <c r="D6" s="9">
        <v>74.985680000000002</v>
      </c>
      <c r="E6" s="9">
        <v>62.963679999999997</v>
      </c>
      <c r="F6" s="9">
        <v>65.658100000000005</v>
      </c>
      <c r="G6" s="30" t="s">
        <v>353</v>
      </c>
      <c r="H6" s="30"/>
      <c r="I6" s="30"/>
    </row>
    <row r="7" spans="1:12" ht="13.8">
      <c r="A7" s="8" t="s">
        <v>48</v>
      </c>
      <c r="B7" s="8" t="s">
        <v>49</v>
      </c>
      <c r="C7" s="9">
        <v>265.19099999999997</v>
      </c>
      <c r="D7" s="9">
        <v>720.50350000000003</v>
      </c>
      <c r="E7" s="9">
        <v>70.138270000000006</v>
      </c>
      <c r="F7" s="9">
        <v>72.427099999999996</v>
      </c>
      <c r="G7" s="31">
        <f>H2/(J2*L2)</f>
        <v>0.5557527256948408</v>
      </c>
      <c r="H7" s="31"/>
      <c r="I7" s="31"/>
    </row>
    <row r="8" spans="1:12">
      <c r="A8" s="8" t="s">
        <v>50</v>
      </c>
      <c r="B8" s="8" t="s">
        <v>51</v>
      </c>
      <c r="C8" s="9">
        <v>323.59179999999998</v>
      </c>
      <c r="D8" s="9">
        <v>761.95479999999998</v>
      </c>
      <c r="E8" s="9">
        <v>76.821730000000002</v>
      </c>
      <c r="F8" s="9">
        <v>78.647220000000004</v>
      </c>
    </row>
    <row r="9" spans="1:12">
      <c r="A9" s="8" t="s">
        <v>52</v>
      </c>
      <c r="B9" s="8" t="s">
        <v>53</v>
      </c>
      <c r="C9" s="9">
        <v>53.732100000000003</v>
      </c>
      <c r="D9" s="9">
        <v>215.89709999999999</v>
      </c>
      <c r="E9" s="9">
        <v>73.392049999999998</v>
      </c>
      <c r="F9" s="9">
        <v>75.150589999999994</v>
      </c>
    </row>
    <row r="10" spans="1:12">
      <c r="A10" s="8" t="s">
        <v>54</v>
      </c>
      <c r="B10" s="8" t="s">
        <v>55</v>
      </c>
      <c r="C10" s="9">
        <v>122.21299999999999</v>
      </c>
      <c r="D10" s="9">
        <v>161.48490000000001</v>
      </c>
      <c r="E10" s="9">
        <v>70.045199999999994</v>
      </c>
      <c r="F10" s="9">
        <v>71.861710000000002</v>
      </c>
    </row>
    <row r="11" spans="1:12">
      <c r="A11" s="8" t="s">
        <v>56</v>
      </c>
      <c r="B11" s="8" t="s">
        <v>57</v>
      </c>
      <c r="C11" s="9">
        <v>96.281700000000001</v>
      </c>
      <c r="D11" s="9">
        <v>200.2278</v>
      </c>
      <c r="E11" s="9">
        <v>70.476259999999996</v>
      </c>
      <c r="F11" s="9">
        <v>73.305710000000005</v>
      </c>
      <c r="H11" s="8"/>
    </row>
    <row r="12" spans="1:12">
      <c r="A12" s="8" t="s">
        <v>58</v>
      </c>
      <c r="B12" s="8" t="s">
        <v>59</v>
      </c>
      <c r="C12" s="9">
        <v>772.83659999999998</v>
      </c>
      <c r="D12" s="9">
        <v>724.5634</v>
      </c>
      <c r="E12" s="9">
        <v>74.886830000000003</v>
      </c>
      <c r="F12" s="9">
        <v>75.980729999999994</v>
      </c>
    </row>
    <row r="13" spans="1:12">
      <c r="A13" s="8" t="s">
        <v>60</v>
      </c>
      <c r="B13" s="8" t="s">
        <v>61</v>
      </c>
      <c r="C13" s="9">
        <v>2082.2669999999998</v>
      </c>
      <c r="D13" s="9">
        <v>4445.4629999999997</v>
      </c>
      <c r="E13" s="9">
        <v>79.236590000000007</v>
      </c>
      <c r="F13" s="9">
        <v>80.964870000000005</v>
      </c>
    </row>
    <row r="14" spans="1:12">
      <c r="A14" s="8" t="s">
        <v>62</v>
      </c>
      <c r="B14" s="8" t="s">
        <v>63</v>
      </c>
      <c r="C14" s="9">
        <v>95.103840000000005</v>
      </c>
      <c r="D14" s="9">
        <v>183.98429999999999</v>
      </c>
      <c r="E14" s="9">
        <v>67.744169999999997</v>
      </c>
      <c r="F14" s="9">
        <v>70.352339999999998</v>
      </c>
    </row>
    <row r="15" spans="1:12">
      <c r="A15" s="8" t="s">
        <v>64</v>
      </c>
      <c r="B15" s="8" t="s">
        <v>65</v>
      </c>
      <c r="C15" s="9">
        <v>324.25349999999997</v>
      </c>
      <c r="D15" s="9">
        <v>588.05640000000005</v>
      </c>
      <c r="E15" s="9">
        <v>74.274249999999995</v>
      </c>
      <c r="F15" s="9">
        <v>76.236339999999998</v>
      </c>
    </row>
    <row r="16" spans="1:12">
      <c r="A16" s="8" t="s">
        <v>66</v>
      </c>
      <c r="B16" s="8" t="s">
        <v>67</v>
      </c>
      <c r="C16" s="9">
        <v>170.0684</v>
      </c>
      <c r="D16" s="9">
        <v>261.32909999999998</v>
      </c>
      <c r="E16" s="9">
        <v>70.893709999999999</v>
      </c>
      <c r="F16" s="9">
        <v>72.728949999999998</v>
      </c>
    </row>
    <row r="17" spans="1:6">
      <c r="A17" s="8" t="s">
        <v>68</v>
      </c>
      <c r="B17" s="8" t="s">
        <v>69</v>
      </c>
      <c r="C17" s="9">
        <v>25.671620000000001</v>
      </c>
      <c r="D17" s="9">
        <v>39.788490000000003</v>
      </c>
      <c r="E17" s="9">
        <v>58.372070000000001</v>
      </c>
      <c r="F17" s="9">
        <v>61.074779999999997</v>
      </c>
    </row>
    <row r="18" spans="1:6">
      <c r="A18" s="8" t="s">
        <v>70</v>
      </c>
      <c r="B18" s="8" t="s">
        <v>71</v>
      </c>
      <c r="C18" s="9">
        <v>190.49539999999999</v>
      </c>
      <c r="D18" s="9">
        <v>256.47160000000002</v>
      </c>
      <c r="E18" s="9">
        <v>70.472290000000001</v>
      </c>
      <c r="F18" s="9">
        <v>72.32302</v>
      </c>
    </row>
    <row r="19" spans="1:6">
      <c r="A19" s="8" t="s">
        <v>72</v>
      </c>
      <c r="B19" s="8" t="s">
        <v>73</v>
      </c>
      <c r="C19" s="9">
        <v>161.1583</v>
      </c>
      <c r="D19" s="9">
        <v>317.36290000000002</v>
      </c>
      <c r="E19" s="9">
        <v>71.000979999999998</v>
      </c>
      <c r="F19" s="9">
        <v>72.984340000000003</v>
      </c>
    </row>
    <row r="20" spans="1:6">
      <c r="A20" s="8" t="s">
        <v>74</v>
      </c>
      <c r="B20" s="8" t="s">
        <v>75</v>
      </c>
      <c r="C20" s="9">
        <v>264.72199999999998</v>
      </c>
      <c r="D20" s="9">
        <v>618.15049999999997</v>
      </c>
      <c r="E20" s="9">
        <v>77.804069999999996</v>
      </c>
      <c r="F20" s="9">
        <v>78.946269999999998</v>
      </c>
    </row>
    <row r="21" spans="1:6">
      <c r="A21" s="8" t="s">
        <v>76</v>
      </c>
      <c r="B21" s="8" t="s">
        <v>77</v>
      </c>
      <c r="C21" s="9">
        <v>184.1857</v>
      </c>
      <c r="D21" s="9">
        <v>671.5018</v>
      </c>
      <c r="E21" s="9">
        <v>76.365809999999996</v>
      </c>
      <c r="F21" s="9">
        <v>78.547420000000002</v>
      </c>
    </row>
    <row r="22" spans="1:6">
      <c r="A22" s="8" t="s">
        <v>78</v>
      </c>
      <c r="B22" s="8" t="s">
        <v>79</v>
      </c>
      <c r="C22" s="9">
        <v>176.39089999999999</v>
      </c>
      <c r="D22" s="9">
        <v>216.92529999999999</v>
      </c>
      <c r="E22" s="9">
        <v>69.701610000000002</v>
      </c>
      <c r="F22" s="9">
        <v>71.310869999999994</v>
      </c>
    </row>
    <row r="23" spans="1:6">
      <c r="A23" s="8" t="s">
        <v>80</v>
      </c>
      <c r="B23" s="8" t="s">
        <v>81</v>
      </c>
      <c r="C23" s="9">
        <v>62.045729999999999</v>
      </c>
      <c r="D23" s="9">
        <v>120.621</v>
      </c>
      <c r="E23" s="9">
        <v>70.38203</v>
      </c>
      <c r="F23" s="9">
        <v>72.240970000000004</v>
      </c>
    </row>
    <row r="24" spans="1:6">
      <c r="A24" s="8" t="s">
        <v>82</v>
      </c>
      <c r="B24" s="8" t="s">
        <v>83</v>
      </c>
      <c r="C24" s="9">
        <v>53.985939999999999</v>
      </c>
      <c r="D24" s="9">
        <v>105.0827</v>
      </c>
      <c r="E24" s="9">
        <v>69.64573</v>
      </c>
      <c r="F24" s="9">
        <v>73.110799999999998</v>
      </c>
    </row>
    <row r="25" spans="1:6">
      <c r="A25" s="8" t="s">
        <v>84</v>
      </c>
      <c r="B25" s="8" t="s">
        <v>85</v>
      </c>
      <c r="C25" s="9">
        <v>305.7475</v>
      </c>
      <c r="D25" s="9">
        <v>493.17070000000001</v>
      </c>
      <c r="E25" s="9">
        <v>74.223140000000001</v>
      </c>
      <c r="F25" s="9">
        <v>75.629320000000007</v>
      </c>
    </row>
    <row r="26" spans="1:6">
      <c r="A26" s="8" t="s">
        <v>86</v>
      </c>
      <c r="B26" s="8" t="s">
        <v>87</v>
      </c>
      <c r="C26" s="9">
        <v>2995.712</v>
      </c>
      <c r="D26" s="9">
        <v>4861.53</v>
      </c>
      <c r="E26" s="9">
        <v>79.660849999999996</v>
      </c>
      <c r="F26" s="9">
        <v>81.258539999999996</v>
      </c>
    </row>
    <row r="27" spans="1:6">
      <c r="A27" s="8" t="s">
        <v>88</v>
      </c>
      <c r="B27" s="8" t="s">
        <v>89</v>
      </c>
      <c r="C27" s="9">
        <v>1538.078</v>
      </c>
      <c r="D27" s="9">
        <v>5252.7730000000001</v>
      </c>
      <c r="E27" s="9">
        <v>76.540729999999996</v>
      </c>
      <c r="F27" s="9">
        <v>79.141459999999995</v>
      </c>
    </row>
    <row r="28" spans="1:6">
      <c r="A28" s="8" t="s">
        <v>90</v>
      </c>
      <c r="B28" s="8" t="s">
        <v>91</v>
      </c>
      <c r="C28" s="9">
        <v>1766.673</v>
      </c>
      <c r="D28" s="9">
        <v>3771.4349999999999</v>
      </c>
      <c r="E28" s="9">
        <v>77.741460000000004</v>
      </c>
      <c r="F28" s="9">
        <v>79.599999999999994</v>
      </c>
    </row>
    <row r="29" spans="1:6">
      <c r="A29" s="8" t="s">
        <v>92</v>
      </c>
      <c r="B29" s="8" t="s">
        <v>93</v>
      </c>
      <c r="C29" s="9">
        <v>56.95129</v>
      </c>
      <c r="D29" s="9">
        <v>152.29859999999999</v>
      </c>
      <c r="E29" s="9">
        <v>69.448269999999994</v>
      </c>
      <c r="F29" s="9">
        <v>73.336200000000005</v>
      </c>
    </row>
    <row r="30" spans="1:6">
      <c r="A30" s="8" t="s">
        <v>94</v>
      </c>
      <c r="B30" s="8" t="s">
        <v>95</v>
      </c>
      <c r="C30" s="9">
        <v>30.483630000000002</v>
      </c>
      <c r="D30" s="9">
        <v>60.795470000000002</v>
      </c>
      <c r="E30" s="9">
        <v>50.160879999999999</v>
      </c>
      <c r="F30" s="9">
        <v>53.37771</v>
      </c>
    </row>
    <row r="31" spans="1:6">
      <c r="A31" s="8" t="s">
        <v>96</v>
      </c>
      <c r="B31" s="8" t="s">
        <v>97</v>
      </c>
      <c r="C31" s="9">
        <v>18.43608</v>
      </c>
      <c r="D31" s="9">
        <v>55.44659</v>
      </c>
      <c r="E31" s="9">
        <v>58.382240000000003</v>
      </c>
      <c r="F31" s="9">
        <v>62.873510000000003</v>
      </c>
    </row>
    <row r="32" spans="1:6">
      <c r="A32" s="8" t="s">
        <v>98</v>
      </c>
      <c r="B32" s="8" t="s">
        <v>99</v>
      </c>
      <c r="C32" s="9">
        <v>18.52966</v>
      </c>
      <c r="D32" s="9">
        <v>26.497959999999999</v>
      </c>
      <c r="E32" s="9">
        <v>45.964320000000001</v>
      </c>
      <c r="F32" s="9">
        <v>54.727629999999998</v>
      </c>
    </row>
    <row r="33" spans="1:6">
      <c r="A33" s="8" t="s">
        <v>100</v>
      </c>
      <c r="B33" s="8" t="s">
        <v>101</v>
      </c>
      <c r="C33" s="9">
        <v>53.689369999999997</v>
      </c>
      <c r="D33" s="9">
        <v>149.4796</v>
      </c>
      <c r="E33" s="9">
        <v>68.675150000000002</v>
      </c>
      <c r="F33" s="9">
        <v>71.307749999999999</v>
      </c>
    </row>
    <row r="34" spans="1:6">
      <c r="A34" s="8" t="s">
        <v>102</v>
      </c>
      <c r="B34" s="8" t="s">
        <v>103</v>
      </c>
      <c r="C34" s="9">
        <v>967.37339999999995</v>
      </c>
      <c r="D34" s="9">
        <v>2433.855</v>
      </c>
      <c r="E34" s="9">
        <v>76.314639999999997</v>
      </c>
      <c r="F34" s="9">
        <v>78.524389999999997</v>
      </c>
    </row>
    <row r="35" spans="1:6">
      <c r="A35" s="8" t="s">
        <v>104</v>
      </c>
      <c r="B35" s="8" t="s">
        <v>105</v>
      </c>
      <c r="C35" s="9">
        <v>1030.0630000000001</v>
      </c>
      <c r="D35" s="9">
        <v>3132.3580000000002</v>
      </c>
      <c r="E35" s="9">
        <v>78.965850000000003</v>
      </c>
      <c r="F35" s="9">
        <v>81.175610000000006</v>
      </c>
    </row>
    <row r="36" spans="1:6">
      <c r="A36" s="8" t="s">
        <v>106</v>
      </c>
      <c r="B36" s="8" t="s">
        <v>107</v>
      </c>
      <c r="C36" s="9">
        <v>11.472770000000001</v>
      </c>
      <c r="D36" s="9">
        <v>37.187130000000003</v>
      </c>
      <c r="E36" s="9">
        <v>50.20129</v>
      </c>
      <c r="F36" s="9">
        <v>53.982489999999999</v>
      </c>
    </row>
    <row r="37" spans="1:6">
      <c r="A37" s="8" t="s">
        <v>108</v>
      </c>
      <c r="B37" s="8" t="s">
        <v>109</v>
      </c>
      <c r="C37" s="9">
        <v>19.493020000000001</v>
      </c>
      <c r="D37" s="9">
        <v>21.324339999999999</v>
      </c>
      <c r="E37" s="9">
        <v>48.110149999999997</v>
      </c>
      <c r="F37" s="9">
        <v>52.687240000000003</v>
      </c>
    </row>
    <row r="38" spans="1:6">
      <c r="A38" s="8" t="s">
        <v>110</v>
      </c>
      <c r="B38" s="8" t="s">
        <v>111</v>
      </c>
      <c r="C38" s="9">
        <v>9.6451200000000004</v>
      </c>
      <c r="D38" s="9">
        <v>17.485050000000001</v>
      </c>
      <c r="E38" s="9">
        <v>44.884880000000003</v>
      </c>
      <c r="F38" s="9">
        <v>46.959269999999997</v>
      </c>
    </row>
    <row r="39" spans="1:6">
      <c r="A39" s="8" t="s">
        <v>112</v>
      </c>
      <c r="B39" s="8" t="s">
        <v>113</v>
      </c>
      <c r="C39" s="9">
        <v>15.87994</v>
      </c>
      <c r="D39" s="9">
        <v>38.73019</v>
      </c>
      <c r="E39" s="9">
        <v>47.243270000000003</v>
      </c>
      <c r="F39" s="9">
        <v>50.120190000000001</v>
      </c>
    </row>
    <row r="40" spans="1:6">
      <c r="A40" s="8" t="s">
        <v>114</v>
      </c>
      <c r="B40" s="8" t="s">
        <v>115</v>
      </c>
      <c r="C40" s="9">
        <v>16.020099999999999</v>
      </c>
      <c r="D40" s="9">
        <v>27.155159999999999</v>
      </c>
      <c r="E40" s="9">
        <v>56.994779999999999</v>
      </c>
      <c r="F40" s="9">
        <v>57.668239999999997</v>
      </c>
    </row>
    <row r="41" spans="1:6">
      <c r="A41" s="8" t="s">
        <v>116</v>
      </c>
      <c r="B41" s="8" t="s">
        <v>117</v>
      </c>
      <c r="C41" s="9">
        <v>20.466899999999999</v>
      </c>
      <c r="D41" s="9">
        <v>61.92859</v>
      </c>
      <c r="E41" s="9">
        <v>55.739240000000002</v>
      </c>
      <c r="F41" s="9">
        <v>58.309359999999998</v>
      </c>
    </row>
    <row r="42" spans="1:6">
      <c r="A42" s="8" t="s">
        <v>118</v>
      </c>
      <c r="B42" s="8" t="s">
        <v>119</v>
      </c>
      <c r="C42" s="9">
        <v>21.99156</v>
      </c>
      <c r="D42" s="9">
        <v>46.860680000000002</v>
      </c>
      <c r="E42" s="9">
        <v>39.731589999999997</v>
      </c>
      <c r="F42" s="9">
        <v>46.425269999999998</v>
      </c>
    </row>
    <row r="43" spans="1:6">
      <c r="A43" s="8" t="s">
        <v>120</v>
      </c>
      <c r="B43" s="8" t="s">
        <v>121</v>
      </c>
      <c r="C43" s="9">
        <v>18.686589999999999</v>
      </c>
      <c r="D43" s="9">
        <v>27.094629999999999</v>
      </c>
      <c r="E43" s="9">
        <v>55.156759999999998</v>
      </c>
      <c r="F43" s="9">
        <v>57.524239999999999</v>
      </c>
    </row>
    <row r="44" spans="1:6">
      <c r="A44" s="8" t="s">
        <v>122</v>
      </c>
      <c r="B44" s="8" t="s">
        <v>123</v>
      </c>
      <c r="C44" s="9">
        <v>43.880299999999998</v>
      </c>
      <c r="D44" s="9">
        <v>80.048199999999994</v>
      </c>
      <c r="E44" s="9">
        <v>53.850340000000003</v>
      </c>
      <c r="F44" s="9">
        <v>56.755099999999999</v>
      </c>
    </row>
    <row r="45" spans="1:6">
      <c r="A45" s="8" t="s">
        <v>124</v>
      </c>
      <c r="B45" s="8" t="s">
        <v>125</v>
      </c>
      <c r="C45" s="9">
        <v>9.1138919999999999</v>
      </c>
      <c r="D45" s="9">
        <v>9.6017430000000008</v>
      </c>
      <c r="E45" s="9">
        <v>56.024970000000003</v>
      </c>
      <c r="F45" s="9">
        <v>60.105269999999997</v>
      </c>
    </row>
    <row r="46" spans="1:6">
      <c r="A46" s="8" t="s">
        <v>126</v>
      </c>
      <c r="B46" s="8" t="s">
        <v>127</v>
      </c>
      <c r="C46" s="9">
        <v>5.3228140000000002</v>
      </c>
      <c r="D46" s="9">
        <v>13.82316</v>
      </c>
      <c r="E46" s="9">
        <v>51.710120000000003</v>
      </c>
      <c r="F46" s="9">
        <v>57.450780000000002</v>
      </c>
    </row>
    <row r="47" spans="1:6">
      <c r="A47" s="8" t="s">
        <v>128</v>
      </c>
      <c r="B47" s="8" t="s">
        <v>129</v>
      </c>
      <c r="C47" s="9">
        <v>22.338239999999999</v>
      </c>
      <c r="D47" s="9">
        <v>73.422809999999998</v>
      </c>
      <c r="E47" s="9">
        <v>63.121339999999996</v>
      </c>
      <c r="F47" s="9">
        <v>67.486239999999995</v>
      </c>
    </row>
    <row r="48" spans="1:6">
      <c r="A48" s="8" t="s">
        <v>130</v>
      </c>
      <c r="B48" s="8" t="s">
        <v>131</v>
      </c>
      <c r="C48" s="9">
        <v>11.931179999999999</v>
      </c>
      <c r="D48" s="9">
        <v>96.903649999999999</v>
      </c>
      <c r="E48" s="9">
        <v>56.9741</v>
      </c>
      <c r="F48" s="9">
        <v>60.477930000000001</v>
      </c>
    </row>
    <row r="49" spans="1:6">
      <c r="A49" s="8" t="s">
        <v>132</v>
      </c>
      <c r="B49" s="8" t="s">
        <v>133</v>
      </c>
      <c r="C49" s="9">
        <v>15.47443</v>
      </c>
      <c r="D49" s="9">
        <v>43.726430000000001</v>
      </c>
      <c r="E49" s="9">
        <v>46.091679999999997</v>
      </c>
      <c r="F49" s="9">
        <v>52.439979999999998</v>
      </c>
    </row>
    <row r="50" spans="1:6">
      <c r="A50" s="8" t="s">
        <v>134</v>
      </c>
      <c r="B50" s="8" t="s">
        <v>135</v>
      </c>
      <c r="C50" s="9">
        <v>15.89785</v>
      </c>
      <c r="D50" s="9">
        <v>108.87260000000001</v>
      </c>
      <c r="E50" s="9">
        <v>70.743480000000005</v>
      </c>
      <c r="F50" s="9">
        <v>67.871120000000005</v>
      </c>
    </row>
    <row r="51" spans="1:6">
      <c r="A51" s="8" t="s">
        <v>136</v>
      </c>
      <c r="B51" s="8" t="s">
        <v>137</v>
      </c>
      <c r="C51" s="9">
        <v>1450.8679999999999</v>
      </c>
      <c r="D51" s="9">
        <v>2092.6729999999998</v>
      </c>
      <c r="E51" s="9">
        <v>78.953659999999999</v>
      </c>
      <c r="F51" s="9">
        <v>81.002440000000007</v>
      </c>
    </row>
    <row r="52" spans="1:6">
      <c r="A52" s="8" t="s">
        <v>138</v>
      </c>
      <c r="B52" s="8" t="s">
        <v>139</v>
      </c>
      <c r="C52" s="9">
        <v>169.34479999999999</v>
      </c>
      <c r="D52" s="9">
        <v>325.12450000000001</v>
      </c>
      <c r="E52" s="9">
        <v>72.075029999999998</v>
      </c>
      <c r="F52" s="9">
        <v>73.016220000000004</v>
      </c>
    </row>
    <row r="53" spans="1:6">
      <c r="A53" s="8" t="s">
        <v>140</v>
      </c>
      <c r="B53" s="8" t="s">
        <v>141</v>
      </c>
      <c r="C53" s="9">
        <v>50.865969999999997</v>
      </c>
      <c r="D53" s="9">
        <v>332.71460000000002</v>
      </c>
      <c r="E53" s="9">
        <v>65.517070000000004</v>
      </c>
      <c r="F53" s="9">
        <v>67.021950000000004</v>
      </c>
    </row>
    <row r="54" spans="1:6">
      <c r="A54" s="8" t="s">
        <v>142</v>
      </c>
      <c r="B54" s="8" t="s">
        <v>143</v>
      </c>
      <c r="C54" s="9">
        <v>3145.502</v>
      </c>
      <c r="D54" s="9">
        <v>8018.8639999999996</v>
      </c>
      <c r="E54" s="9">
        <v>78.634150000000005</v>
      </c>
      <c r="F54" s="9">
        <v>80.592680000000001</v>
      </c>
    </row>
    <row r="55" spans="1:6">
      <c r="A55" s="8" t="s">
        <v>144</v>
      </c>
      <c r="B55" s="8" t="s">
        <v>145</v>
      </c>
      <c r="C55" s="9">
        <v>96.007840000000002</v>
      </c>
      <c r="D55" s="9">
        <v>568.10329999999999</v>
      </c>
      <c r="E55" s="9">
        <v>65.341459999999998</v>
      </c>
      <c r="F55" s="9">
        <v>67.848780000000005</v>
      </c>
    </row>
    <row r="56" spans="1:6">
      <c r="A56" s="8" t="s">
        <v>146</v>
      </c>
      <c r="B56" s="8" t="s">
        <v>147</v>
      </c>
      <c r="C56" s="9">
        <v>2277.415</v>
      </c>
      <c r="D56" s="9">
        <v>4857.7749999999996</v>
      </c>
      <c r="E56" s="9">
        <v>79.643910000000005</v>
      </c>
      <c r="F56" s="9">
        <v>81.099999999999994</v>
      </c>
    </row>
    <row r="57" spans="1:6">
      <c r="A57" s="8" t="s">
        <v>148</v>
      </c>
      <c r="B57" s="8" t="s">
        <v>149</v>
      </c>
      <c r="C57" s="9">
        <v>62.664549999999998</v>
      </c>
      <c r="D57" s="9">
        <v>271.70030000000003</v>
      </c>
      <c r="E57" s="9">
        <v>70.024169999999998</v>
      </c>
      <c r="F57" s="9">
        <v>72.389049999999997</v>
      </c>
    </row>
    <row r="58" spans="1:6">
      <c r="A58" s="8" t="s">
        <v>150</v>
      </c>
      <c r="B58" s="8" t="s">
        <v>151</v>
      </c>
      <c r="C58" s="9">
        <v>1289.154</v>
      </c>
      <c r="D58" s="9">
        <v>3330.7979999999998</v>
      </c>
      <c r="E58" s="9"/>
      <c r="F58" s="9"/>
    </row>
    <row r="59" spans="1:6">
      <c r="A59" s="8" t="s">
        <v>152</v>
      </c>
      <c r="B59" s="8" t="s">
        <v>153</v>
      </c>
      <c r="C59" s="9">
        <v>26.728429999999999</v>
      </c>
      <c r="D59" s="9">
        <v>65.002350000000007</v>
      </c>
      <c r="E59" s="9">
        <v>50.071269999999998</v>
      </c>
      <c r="F59" s="9">
        <v>50.160899999999998</v>
      </c>
    </row>
    <row r="60" spans="1:6">
      <c r="A60" s="8" t="s">
        <v>154</v>
      </c>
      <c r="B60" s="8" t="s">
        <v>155</v>
      </c>
      <c r="C60" s="9">
        <v>9.8523239999999994</v>
      </c>
      <c r="D60" s="9">
        <v>19.837720000000001</v>
      </c>
      <c r="E60" s="9">
        <v>43.663359999999997</v>
      </c>
      <c r="F60" s="9">
        <v>46.163240000000002</v>
      </c>
    </row>
    <row r="61" spans="1:6">
      <c r="A61" s="8" t="s">
        <v>156</v>
      </c>
      <c r="B61" s="8" t="s">
        <v>157</v>
      </c>
      <c r="C61" s="9">
        <v>211.69059999999999</v>
      </c>
      <c r="D61" s="9">
        <v>458.02710000000002</v>
      </c>
      <c r="E61" s="9">
        <v>72.530749999999998</v>
      </c>
      <c r="F61" s="9">
        <v>74.328999999999994</v>
      </c>
    </row>
    <row r="62" spans="1:6">
      <c r="A62" s="8" t="s">
        <v>158</v>
      </c>
      <c r="B62" s="8" t="s">
        <v>159</v>
      </c>
      <c r="C62" s="9">
        <v>122.4796</v>
      </c>
      <c r="D62" s="9">
        <v>248.07929999999999</v>
      </c>
      <c r="E62" s="9">
        <v>72.599999999999994</v>
      </c>
      <c r="F62" s="9">
        <v>74.302440000000004</v>
      </c>
    </row>
    <row r="63" spans="1:6">
      <c r="A63" s="8" t="s">
        <v>160</v>
      </c>
      <c r="B63" s="8" t="s">
        <v>161</v>
      </c>
      <c r="C63" s="9">
        <v>15.26689</v>
      </c>
      <c r="D63" s="9">
        <v>32.136890000000001</v>
      </c>
      <c r="E63" s="9">
        <v>52.565339999999999</v>
      </c>
      <c r="F63" s="9">
        <v>54.787320000000001</v>
      </c>
    </row>
    <row r="64" spans="1:6">
      <c r="A64" s="8" t="s">
        <v>162</v>
      </c>
      <c r="B64" s="8" t="s">
        <v>163</v>
      </c>
      <c r="C64" s="9">
        <v>10.34735</v>
      </c>
      <c r="D64" s="9">
        <v>49.131999999999998</v>
      </c>
      <c r="E64" s="9">
        <v>48.488979999999998</v>
      </c>
      <c r="F64" s="9">
        <v>48.60575</v>
      </c>
    </row>
    <row r="65" spans="1:6">
      <c r="A65" s="8" t="s">
        <v>164</v>
      </c>
      <c r="B65" s="8" t="s">
        <v>165</v>
      </c>
      <c r="C65" s="9">
        <v>42.405270000000002</v>
      </c>
      <c r="D65" s="9">
        <v>544.95830000000001</v>
      </c>
      <c r="E65" s="9">
        <v>48.690269999999998</v>
      </c>
      <c r="F65" s="9">
        <v>50.247219999999999</v>
      </c>
    </row>
    <row r="66" spans="1:6">
      <c r="A66" s="8" t="s">
        <v>166</v>
      </c>
      <c r="B66" s="8" t="s">
        <v>167</v>
      </c>
      <c r="C66" s="9">
        <v>5.4871840000000001</v>
      </c>
      <c r="D66" s="9">
        <v>21.38072</v>
      </c>
      <c r="E66" s="9">
        <v>48.266680000000001</v>
      </c>
      <c r="F66" s="9">
        <v>53.334490000000002</v>
      </c>
    </row>
    <row r="67" spans="1:6">
      <c r="A67" s="8" t="s">
        <v>168</v>
      </c>
      <c r="B67" s="8" t="s">
        <v>169</v>
      </c>
      <c r="C67" s="9">
        <v>16.950859999999999</v>
      </c>
      <c r="D67" s="9">
        <v>73.43777</v>
      </c>
      <c r="E67" s="9">
        <v>46.272320000000001</v>
      </c>
      <c r="F67" s="9">
        <v>50.479730000000004</v>
      </c>
    </row>
    <row r="68" spans="1:6">
      <c r="A68" s="8" t="s">
        <v>170</v>
      </c>
      <c r="B68" s="8" t="s">
        <v>171</v>
      </c>
      <c r="C68" s="9">
        <v>105.63979999999999</v>
      </c>
      <c r="D68" s="9">
        <v>505.745</v>
      </c>
      <c r="E68" s="9">
        <v>74.308120000000002</v>
      </c>
      <c r="F68" s="9">
        <v>75.106319999999997</v>
      </c>
    </row>
    <row r="69" spans="1:6">
      <c r="A69" s="8" t="s">
        <v>172</v>
      </c>
      <c r="B69" s="8" t="s">
        <v>173</v>
      </c>
      <c r="C69" s="9">
        <v>375.3965</v>
      </c>
      <c r="D69" s="9">
        <v>1229.7539999999999</v>
      </c>
      <c r="E69" s="9">
        <v>72.807810000000003</v>
      </c>
      <c r="F69" s="9">
        <v>75.912189999999995</v>
      </c>
    </row>
    <row r="70" spans="1:6">
      <c r="A70" s="8" t="s">
        <v>174</v>
      </c>
      <c r="B70" s="8" t="s">
        <v>175</v>
      </c>
      <c r="C70" s="9">
        <v>1546.8579999999999</v>
      </c>
      <c r="D70" s="9">
        <v>3342.8629999999998</v>
      </c>
      <c r="E70" s="9">
        <v>79.426829999999995</v>
      </c>
      <c r="F70" s="9">
        <v>81.385369999999995</v>
      </c>
    </row>
    <row r="71" spans="1:6">
      <c r="A71" s="8" t="s">
        <v>176</v>
      </c>
      <c r="B71" s="8" t="s">
        <v>177</v>
      </c>
      <c r="C71" s="9">
        <v>159.18899999999999</v>
      </c>
      <c r="D71" s="9">
        <v>328.42959999999999</v>
      </c>
      <c r="E71" s="9">
        <v>72.910219999999995</v>
      </c>
      <c r="F71" s="9">
        <v>74.267120000000006</v>
      </c>
    </row>
    <row r="72" spans="1:6">
      <c r="A72" s="8" t="s">
        <v>178</v>
      </c>
      <c r="B72" s="8" t="s">
        <v>179</v>
      </c>
      <c r="C72" s="9">
        <v>640.43060000000003</v>
      </c>
      <c r="D72" s="9">
        <v>1373.5060000000001</v>
      </c>
      <c r="E72" s="9">
        <v>78.2</v>
      </c>
      <c r="F72" s="9">
        <v>79.431709999999995</v>
      </c>
    </row>
    <row r="73" spans="1:6">
      <c r="A73" s="8" t="s">
        <v>180</v>
      </c>
      <c r="B73" s="8" t="s">
        <v>181</v>
      </c>
      <c r="C73" s="9">
        <v>94.98339</v>
      </c>
      <c r="D73" s="9">
        <v>481.53309999999999</v>
      </c>
      <c r="E73" s="9">
        <v>71.663409999999999</v>
      </c>
      <c r="F73" s="9">
        <v>72.963419999999999</v>
      </c>
    </row>
    <row r="74" spans="1:6">
      <c r="A74" s="8" t="s">
        <v>182</v>
      </c>
      <c r="B74" s="8" t="s">
        <v>183</v>
      </c>
      <c r="C74" s="9">
        <v>740.21010000000001</v>
      </c>
      <c r="D74" s="9">
        <v>1908.6669999999999</v>
      </c>
      <c r="E74" s="9">
        <v>77.956919999999997</v>
      </c>
      <c r="F74" s="9">
        <v>79.021460000000005</v>
      </c>
    </row>
    <row r="75" spans="1:6">
      <c r="A75" s="8" t="s">
        <v>184</v>
      </c>
      <c r="B75" s="8" t="s">
        <v>185</v>
      </c>
      <c r="C75" s="9">
        <v>75.783959999999993</v>
      </c>
      <c r="D75" s="9">
        <v>97.263850000000005</v>
      </c>
      <c r="E75" s="9">
        <v>69.082660000000004</v>
      </c>
      <c r="F75" s="9">
        <v>72.475440000000006</v>
      </c>
    </row>
    <row r="76" spans="1:6">
      <c r="A76" s="8" t="s">
        <v>186</v>
      </c>
      <c r="B76" s="8" t="s">
        <v>187</v>
      </c>
      <c r="C76" s="9">
        <v>45.018569999999997</v>
      </c>
      <c r="D76" s="9">
        <v>257.99689999999998</v>
      </c>
      <c r="E76" s="9">
        <v>71.563100000000006</v>
      </c>
      <c r="F76" s="9">
        <v>72.984629999999996</v>
      </c>
    </row>
    <row r="77" spans="1:6">
      <c r="A77" s="8" t="s">
        <v>188</v>
      </c>
      <c r="B77" s="8" t="s">
        <v>189</v>
      </c>
      <c r="C77" s="9">
        <v>918.06100000000004</v>
      </c>
      <c r="D77" s="9">
        <v>3109.99</v>
      </c>
      <c r="E77" s="9">
        <v>77.887799999999999</v>
      </c>
      <c r="F77" s="9">
        <v>79.939030000000002</v>
      </c>
    </row>
    <row r="78" spans="1:6">
      <c r="A78" s="8" t="s">
        <v>190</v>
      </c>
      <c r="B78" s="8" t="s">
        <v>191</v>
      </c>
      <c r="C78" s="9">
        <v>487.85559999999998</v>
      </c>
      <c r="D78" s="9">
        <v>604.38710000000003</v>
      </c>
      <c r="E78" s="9">
        <v>70.637020000000007</v>
      </c>
      <c r="F78" s="9">
        <v>72.047319999999999</v>
      </c>
    </row>
    <row r="79" spans="1:6">
      <c r="A79" s="8" t="s">
        <v>192</v>
      </c>
      <c r="B79" s="8" t="s">
        <v>193</v>
      </c>
      <c r="C79" s="9">
        <v>57.344589999999997</v>
      </c>
      <c r="D79" s="9">
        <v>70.856250000000003</v>
      </c>
      <c r="E79" s="9">
        <v>74.018879999999996</v>
      </c>
      <c r="F79" s="9">
        <v>75.412610000000001</v>
      </c>
    </row>
    <row r="80" spans="1:6">
      <c r="A80" s="8" t="s">
        <v>194</v>
      </c>
      <c r="B80" s="8" t="s">
        <v>195</v>
      </c>
      <c r="C80" s="9">
        <v>204.4855</v>
      </c>
      <c r="D80" s="9">
        <v>623.27610000000004</v>
      </c>
      <c r="E80" s="9">
        <v>69.446879999999993</v>
      </c>
      <c r="F80" s="9">
        <v>73.129630000000006</v>
      </c>
    </row>
    <row r="81" spans="1:6">
      <c r="A81" s="8" t="s">
        <v>196</v>
      </c>
      <c r="B81" s="8" t="s">
        <v>197</v>
      </c>
      <c r="C81" s="9">
        <v>2361.02</v>
      </c>
      <c r="D81" s="9">
        <v>5200.884</v>
      </c>
      <c r="E81" s="9">
        <v>78.026830000000004</v>
      </c>
      <c r="F81" s="9">
        <v>80.23415</v>
      </c>
    </row>
    <row r="82" spans="1:6">
      <c r="A82" s="8" t="s">
        <v>198</v>
      </c>
      <c r="B82" s="8" t="s">
        <v>199</v>
      </c>
      <c r="C82" s="9">
        <v>361.61259999999999</v>
      </c>
      <c r="D82" s="9">
        <v>1468.646</v>
      </c>
      <c r="E82" s="9">
        <v>74.968289999999996</v>
      </c>
      <c r="F82" s="9">
        <v>76.975610000000003</v>
      </c>
    </row>
    <row r="83" spans="1:6">
      <c r="A83" s="8" t="s">
        <v>200</v>
      </c>
      <c r="B83" s="8" t="s">
        <v>201</v>
      </c>
      <c r="C83" s="9">
        <v>2474.1080000000002</v>
      </c>
      <c r="D83" s="9">
        <v>6133.3620000000001</v>
      </c>
      <c r="E83" s="9">
        <v>76.592680000000001</v>
      </c>
      <c r="F83" s="9">
        <v>78.446340000000006</v>
      </c>
    </row>
    <row r="84" spans="1:6">
      <c r="A84" s="8" t="s">
        <v>202</v>
      </c>
      <c r="B84" s="8" t="s">
        <v>203</v>
      </c>
      <c r="C84" s="9">
        <v>326.36709999999999</v>
      </c>
      <c r="D84" s="9">
        <v>1119.1189999999999</v>
      </c>
      <c r="E84" s="9">
        <v>71.246340000000004</v>
      </c>
      <c r="F84" s="9">
        <v>73.702439999999996</v>
      </c>
    </row>
    <row r="85" spans="1:6">
      <c r="A85" s="8" t="s">
        <v>204</v>
      </c>
      <c r="B85" s="8" t="s">
        <v>205</v>
      </c>
      <c r="C85" s="9">
        <v>246.97620000000001</v>
      </c>
      <c r="D85" s="9">
        <v>971.30809999999997</v>
      </c>
      <c r="E85" s="9">
        <v>73.748779999999996</v>
      </c>
      <c r="F85" s="9">
        <v>75.543899999999994</v>
      </c>
    </row>
    <row r="86" spans="1:6">
      <c r="A86" s="8" t="s">
        <v>206</v>
      </c>
      <c r="B86" s="8" t="s">
        <v>207</v>
      </c>
      <c r="C86" s="9">
        <v>248.80260000000001</v>
      </c>
      <c r="D86" s="9">
        <v>1395.194</v>
      </c>
      <c r="E86" s="9">
        <v>73.051220000000001</v>
      </c>
      <c r="F86" s="9">
        <v>74.704880000000003</v>
      </c>
    </row>
    <row r="87" spans="1:6">
      <c r="A87" s="8" t="s">
        <v>208</v>
      </c>
      <c r="B87" s="8" t="s">
        <v>209</v>
      </c>
      <c r="C87" s="9">
        <v>829.37670000000003</v>
      </c>
      <c r="D87" s="9">
        <v>2238.078</v>
      </c>
      <c r="E87" s="9">
        <v>75.412189999999995</v>
      </c>
      <c r="F87" s="9">
        <v>78.76585</v>
      </c>
    </row>
    <row r="88" spans="1:6">
      <c r="A88" s="8" t="s">
        <v>210</v>
      </c>
      <c r="B88" s="8" t="s">
        <v>211</v>
      </c>
      <c r="C88" s="9">
        <v>2025.2750000000001</v>
      </c>
      <c r="D88" s="9">
        <v>5242.5870000000004</v>
      </c>
      <c r="E88" s="9">
        <v>78.173169999999999</v>
      </c>
      <c r="F88" s="9">
        <v>79.482929999999996</v>
      </c>
    </row>
    <row r="89" spans="1:6">
      <c r="A89" s="8" t="s">
        <v>212</v>
      </c>
      <c r="B89" s="8" t="s">
        <v>213</v>
      </c>
      <c r="C89" s="9">
        <v>2184.2570000000001</v>
      </c>
      <c r="D89" s="9">
        <v>4965.8180000000002</v>
      </c>
      <c r="E89" s="9">
        <v>78.958529999999996</v>
      </c>
      <c r="F89" s="9">
        <v>80.868290000000002</v>
      </c>
    </row>
    <row r="90" spans="1:6">
      <c r="A90" s="8" t="s">
        <v>214</v>
      </c>
      <c r="B90" s="8" t="s">
        <v>215</v>
      </c>
      <c r="C90" s="9">
        <v>2366.0509999999999</v>
      </c>
      <c r="D90" s="9">
        <v>4720.3810000000003</v>
      </c>
      <c r="E90" s="9">
        <v>77.926829999999995</v>
      </c>
      <c r="F90" s="9">
        <v>79.736590000000007</v>
      </c>
    </row>
    <row r="91" spans="1:6">
      <c r="A91" s="8" t="s">
        <v>216</v>
      </c>
      <c r="B91" s="8" t="s">
        <v>217</v>
      </c>
      <c r="C91" s="9">
        <v>3437.7550000000001</v>
      </c>
      <c r="D91" s="9">
        <v>7998.018</v>
      </c>
      <c r="E91" s="9">
        <v>77.873170000000002</v>
      </c>
      <c r="F91" s="9">
        <v>80.087810000000005</v>
      </c>
    </row>
    <row r="92" spans="1:6">
      <c r="A92" s="8" t="s">
        <v>218</v>
      </c>
      <c r="B92" s="8" t="s">
        <v>219</v>
      </c>
      <c r="C92" s="9">
        <v>3518.893</v>
      </c>
      <c r="D92" s="9">
        <v>6987.6130000000003</v>
      </c>
      <c r="E92" s="9">
        <v>79.680490000000006</v>
      </c>
      <c r="F92" s="9">
        <v>81.992679999999993</v>
      </c>
    </row>
    <row r="93" spans="1:6">
      <c r="A93" s="8" t="s">
        <v>220</v>
      </c>
      <c r="B93" s="8" t="s">
        <v>221</v>
      </c>
      <c r="C93" s="9">
        <v>4703.4669999999996</v>
      </c>
      <c r="D93" s="9">
        <v>7163.8040000000001</v>
      </c>
      <c r="E93" s="9">
        <v>76.636589999999998</v>
      </c>
      <c r="F93" s="9">
        <v>77.939030000000002</v>
      </c>
    </row>
    <row r="94" spans="1:6">
      <c r="A94" s="8" t="s">
        <v>222</v>
      </c>
      <c r="B94" s="8" t="s">
        <v>223</v>
      </c>
      <c r="C94" s="9">
        <v>66.434719999999999</v>
      </c>
      <c r="D94" s="9">
        <v>350.81330000000003</v>
      </c>
      <c r="E94" s="9">
        <v>68.912189999999995</v>
      </c>
      <c r="F94" s="9">
        <v>70.456100000000006</v>
      </c>
    </row>
    <row r="95" spans="1:6">
      <c r="A95" s="8" t="s">
        <v>224</v>
      </c>
      <c r="B95" s="8" t="s">
        <v>225</v>
      </c>
      <c r="C95" s="9">
        <v>219.6808</v>
      </c>
      <c r="D95" s="9">
        <v>1073.903</v>
      </c>
      <c r="E95" s="9">
        <v>70.417079999999999</v>
      </c>
      <c r="F95" s="9">
        <v>73.77073</v>
      </c>
    </row>
    <row r="96" spans="1:6">
      <c r="A96" s="8" t="s">
        <v>226</v>
      </c>
      <c r="B96" s="8" t="s">
        <v>227</v>
      </c>
      <c r="C96" s="9">
        <v>1691.6679999999999</v>
      </c>
      <c r="D96" s="9">
        <v>4480.5290000000005</v>
      </c>
      <c r="E96" s="9">
        <v>77.465850000000003</v>
      </c>
      <c r="F96" s="9">
        <v>79.568290000000005</v>
      </c>
    </row>
    <row r="97" spans="1:6">
      <c r="A97" s="8" t="s">
        <v>228</v>
      </c>
      <c r="B97" s="8" t="s">
        <v>229</v>
      </c>
      <c r="C97" s="9">
        <v>197.60579999999999</v>
      </c>
      <c r="D97" s="9">
        <v>979.072</v>
      </c>
      <c r="E97" s="9">
        <v>70.314639999999997</v>
      </c>
      <c r="F97" s="9">
        <v>72.419510000000002</v>
      </c>
    </row>
    <row r="98" spans="1:6">
      <c r="A98" s="8" t="s">
        <v>230</v>
      </c>
      <c r="B98" s="8" t="s">
        <v>231</v>
      </c>
      <c r="C98" s="9">
        <v>212.9683</v>
      </c>
      <c r="D98" s="9">
        <v>930.96029999999996</v>
      </c>
      <c r="E98" s="9">
        <v>72.01952</v>
      </c>
      <c r="F98" s="9">
        <v>71.812190000000001</v>
      </c>
    </row>
    <row r="99" spans="1:6">
      <c r="A99" s="8" t="s">
        <v>232</v>
      </c>
      <c r="B99" s="8" t="s">
        <v>233</v>
      </c>
      <c r="C99" s="9">
        <v>21.749369999999999</v>
      </c>
      <c r="D99" s="9">
        <v>180.6523</v>
      </c>
      <c r="E99" s="9">
        <v>66.888270000000006</v>
      </c>
      <c r="F99" s="9">
        <v>68.348659999999995</v>
      </c>
    </row>
    <row r="100" spans="1:6">
      <c r="A100" s="8" t="s">
        <v>234</v>
      </c>
      <c r="B100" s="8" t="s">
        <v>235</v>
      </c>
      <c r="C100" s="9">
        <v>86.724090000000004</v>
      </c>
      <c r="D100" s="9">
        <v>516.78110000000004</v>
      </c>
      <c r="E100" s="9">
        <v>71.163409999999999</v>
      </c>
      <c r="F100" s="9">
        <v>72.565860000000001</v>
      </c>
    </row>
    <row r="101" spans="1:6">
      <c r="A101" s="8" t="s">
        <v>236</v>
      </c>
      <c r="B101" s="8" t="s">
        <v>237</v>
      </c>
      <c r="C101" s="9">
        <v>35.540120000000002</v>
      </c>
      <c r="D101" s="9">
        <v>267.97449999999998</v>
      </c>
      <c r="E101" s="9">
        <v>67.863410000000002</v>
      </c>
      <c r="F101" s="9">
        <v>68.251459999999994</v>
      </c>
    </row>
    <row r="102" spans="1:6">
      <c r="A102" s="8" t="s">
        <v>238</v>
      </c>
      <c r="B102" s="8" t="s">
        <v>239</v>
      </c>
      <c r="C102" s="9">
        <v>20.675329999999999</v>
      </c>
      <c r="D102" s="9">
        <v>45.272199999999998</v>
      </c>
      <c r="E102" s="9">
        <v>61.613880000000002</v>
      </c>
      <c r="F102" s="9">
        <v>64.42295</v>
      </c>
    </row>
    <row r="103" spans="1:6">
      <c r="A103" s="8" t="s">
        <v>240</v>
      </c>
      <c r="B103" s="8" t="s">
        <v>241</v>
      </c>
      <c r="C103" s="9">
        <v>199.57079999999999</v>
      </c>
      <c r="D103" s="9">
        <v>462.06450000000001</v>
      </c>
      <c r="E103" s="9">
        <v>70.374120000000005</v>
      </c>
      <c r="F103" s="9">
        <v>75.811049999999994</v>
      </c>
    </row>
    <row r="104" spans="1:6">
      <c r="A104" s="8" t="s">
        <v>242</v>
      </c>
      <c r="B104" s="8" t="s">
        <v>243</v>
      </c>
      <c r="C104" s="9">
        <v>248.79470000000001</v>
      </c>
      <c r="D104" s="9">
        <v>454.0829</v>
      </c>
      <c r="E104" s="9">
        <v>74.110290000000006</v>
      </c>
      <c r="F104" s="9">
        <v>72.998609999999999</v>
      </c>
    </row>
    <row r="105" spans="1:6">
      <c r="A105" s="8" t="s">
        <v>244</v>
      </c>
      <c r="B105" s="8" t="s">
        <v>245</v>
      </c>
      <c r="C105" s="9">
        <v>33.11918</v>
      </c>
      <c r="D105" s="9">
        <v>82.598029999999994</v>
      </c>
      <c r="E105" s="9">
        <v>70.984290000000001</v>
      </c>
      <c r="F105" s="9">
        <v>74.433269999999993</v>
      </c>
    </row>
    <row r="106" spans="1:6">
      <c r="A106" s="8" t="s">
        <v>246</v>
      </c>
      <c r="B106" s="8" t="s">
        <v>247</v>
      </c>
      <c r="C106" s="9">
        <v>45.059629999999999</v>
      </c>
      <c r="D106" s="9">
        <v>81.572680000000005</v>
      </c>
      <c r="E106" s="9">
        <v>63.895510000000002</v>
      </c>
      <c r="F106" s="9">
        <v>64.675700000000006</v>
      </c>
    </row>
    <row r="107" spans="1:6">
      <c r="A107" s="8" t="s">
        <v>248</v>
      </c>
      <c r="B107" s="8" t="s">
        <v>249</v>
      </c>
      <c r="C107" s="9">
        <v>31.705100000000002</v>
      </c>
      <c r="D107" s="9">
        <v>51.385959999999997</v>
      </c>
      <c r="E107" s="9">
        <v>66.950869999999995</v>
      </c>
      <c r="F107" s="9">
        <v>67.566980000000001</v>
      </c>
    </row>
    <row r="108" spans="1:6">
      <c r="A108" s="8" t="s">
        <v>250</v>
      </c>
      <c r="B108" s="8" t="s">
        <v>251</v>
      </c>
      <c r="C108" s="9">
        <v>24.639970000000002</v>
      </c>
      <c r="D108" s="9">
        <v>66.501530000000002</v>
      </c>
      <c r="E108" s="9">
        <v>59.68985</v>
      </c>
      <c r="F108" s="9">
        <v>64.139560000000003</v>
      </c>
    </row>
    <row r="109" spans="1:6">
      <c r="A109" s="8" t="s">
        <v>252</v>
      </c>
      <c r="B109" s="8" t="s">
        <v>253</v>
      </c>
      <c r="C109" s="9">
        <v>40.639420000000001</v>
      </c>
      <c r="D109" s="9">
        <v>142.8109</v>
      </c>
      <c r="E109" s="9">
        <v>70.989440000000002</v>
      </c>
      <c r="F109" s="9">
        <v>73.495949999999993</v>
      </c>
    </row>
    <row r="110" spans="1:6">
      <c r="A110" s="8" t="s">
        <v>254</v>
      </c>
      <c r="B110" s="8" t="s">
        <v>255</v>
      </c>
      <c r="C110" s="9">
        <v>30.355340000000002</v>
      </c>
      <c r="D110" s="9">
        <v>239.56200000000001</v>
      </c>
      <c r="E110" s="9">
        <v>66.757220000000004</v>
      </c>
      <c r="F110" s="9">
        <v>70.067859999999996</v>
      </c>
    </row>
    <row r="111" spans="1:6">
      <c r="A111" s="8" t="s">
        <v>256</v>
      </c>
      <c r="B111" s="8" t="s">
        <v>257</v>
      </c>
      <c r="C111" s="9">
        <v>487.69</v>
      </c>
      <c r="D111" s="9">
        <v>1044.028</v>
      </c>
      <c r="E111" s="9">
        <v>73.79607</v>
      </c>
      <c r="F111" s="9">
        <v>74.758610000000004</v>
      </c>
    </row>
    <row r="112" spans="1:6">
      <c r="A112" s="8" t="s">
        <v>258</v>
      </c>
      <c r="B112" s="8" t="s">
        <v>259</v>
      </c>
      <c r="C112" s="9">
        <v>225.6157</v>
      </c>
      <c r="D112" s="9">
        <v>254.303</v>
      </c>
      <c r="E112" s="9">
        <v>69.739660000000001</v>
      </c>
      <c r="F112" s="9">
        <v>72.219660000000005</v>
      </c>
    </row>
    <row r="113" spans="1:6">
      <c r="A113" s="8" t="s">
        <v>260</v>
      </c>
      <c r="B113" s="8" t="s">
        <v>261</v>
      </c>
      <c r="C113" s="9">
        <v>437.53070000000002</v>
      </c>
      <c r="D113" s="9">
        <v>989.83050000000003</v>
      </c>
      <c r="E113" s="9">
        <v>73.752489999999995</v>
      </c>
      <c r="F113" s="9">
        <v>74.378299999999996</v>
      </c>
    </row>
    <row r="114" spans="1:6">
      <c r="A114" s="8" t="s">
        <v>262</v>
      </c>
      <c r="B114" s="8" t="s">
        <v>263</v>
      </c>
      <c r="C114" s="9">
        <v>659.02499999999998</v>
      </c>
      <c r="D114" s="9">
        <v>1774.9549999999999</v>
      </c>
      <c r="E114" s="9">
        <v>76.303190000000001</v>
      </c>
      <c r="F114" s="9">
        <v>77.774510000000006</v>
      </c>
    </row>
    <row r="115" spans="1:6">
      <c r="A115" s="8" t="s">
        <v>264</v>
      </c>
      <c r="B115" s="8" t="s">
        <v>265</v>
      </c>
      <c r="C115" s="9">
        <v>385.74439999999998</v>
      </c>
      <c r="D115" s="9">
        <v>675.9982</v>
      </c>
      <c r="E115" s="9">
        <v>71.492099999999994</v>
      </c>
      <c r="F115" s="9">
        <v>73.402079999999998</v>
      </c>
    </row>
    <row r="116" spans="1:6">
      <c r="A116" s="8" t="s">
        <v>266</v>
      </c>
      <c r="B116" s="8" t="s">
        <v>267</v>
      </c>
      <c r="C116" s="9">
        <v>698.96749999999997</v>
      </c>
      <c r="D116" s="9">
        <v>1426.9570000000001</v>
      </c>
      <c r="E116" s="9">
        <v>74.61591</v>
      </c>
      <c r="F116" s="9">
        <v>76.221339999999998</v>
      </c>
    </row>
    <row r="117" spans="1:6">
      <c r="A117" s="8" t="s">
        <v>268</v>
      </c>
      <c r="B117" s="8" t="s">
        <v>269</v>
      </c>
      <c r="C117" s="9">
        <v>11.00906</v>
      </c>
      <c r="D117" s="9">
        <v>47.482840000000003</v>
      </c>
      <c r="E117" s="9">
        <v>45.292850000000001</v>
      </c>
      <c r="F117" s="9">
        <v>47.538559999999997</v>
      </c>
    </row>
    <row r="118" spans="1:6">
      <c r="A118" s="8" t="s">
        <v>270</v>
      </c>
      <c r="B118" s="8" t="s">
        <v>271</v>
      </c>
      <c r="C118" s="9">
        <v>12.932919999999999</v>
      </c>
      <c r="D118" s="9">
        <v>54.146180000000001</v>
      </c>
      <c r="E118" s="9">
        <v>68.558539999999994</v>
      </c>
      <c r="F118" s="9">
        <v>68.451220000000006</v>
      </c>
    </row>
    <row r="119" spans="1:6">
      <c r="A119" s="8" t="s">
        <v>272</v>
      </c>
      <c r="B119" s="8" t="s">
        <v>273</v>
      </c>
      <c r="C119" s="9">
        <v>11.8599</v>
      </c>
      <c r="D119" s="9">
        <v>24.357900000000001</v>
      </c>
      <c r="E119" s="9">
        <v>61.521630000000002</v>
      </c>
      <c r="F119" s="9">
        <v>67.527950000000004</v>
      </c>
    </row>
    <row r="120" spans="1:6">
      <c r="A120" s="8" t="s">
        <v>274</v>
      </c>
      <c r="B120" s="8" t="s">
        <v>275</v>
      </c>
      <c r="C120" s="9">
        <v>14.563610000000001</v>
      </c>
      <c r="D120" s="9">
        <v>21.610420000000001</v>
      </c>
      <c r="E120" s="9">
        <v>63.161949999999997</v>
      </c>
      <c r="F120" s="9">
        <v>64.721950000000007</v>
      </c>
    </row>
    <row r="121" spans="1:6">
      <c r="A121" s="8" t="s">
        <v>276</v>
      </c>
      <c r="B121" s="8" t="s">
        <v>277</v>
      </c>
      <c r="C121" s="9">
        <v>6.4702109999999999</v>
      </c>
      <c r="D121" s="9">
        <v>37.390389999999996</v>
      </c>
      <c r="E121" s="9">
        <v>63.755339999999997</v>
      </c>
      <c r="F121" s="9">
        <v>66.65598</v>
      </c>
    </row>
    <row r="122" spans="1:6">
      <c r="A122" s="8" t="s">
        <v>278</v>
      </c>
      <c r="B122" s="8" t="s">
        <v>279</v>
      </c>
      <c r="C122" s="9">
        <v>9.0932469999999999</v>
      </c>
      <c r="D122" s="9">
        <v>16.519380000000002</v>
      </c>
      <c r="E122" s="9">
        <v>64.730339999999998</v>
      </c>
      <c r="F122" s="9">
        <v>68.004019999999997</v>
      </c>
    </row>
    <row r="123" spans="1:6">
      <c r="A123" s="8" t="s">
        <v>280</v>
      </c>
      <c r="B123" s="8" t="s">
        <v>281</v>
      </c>
      <c r="C123" s="9">
        <v>52.560740000000003</v>
      </c>
      <c r="D123" s="9">
        <v>100.1259</v>
      </c>
      <c r="E123" s="9">
        <v>61.374220000000001</v>
      </c>
      <c r="F123" s="9">
        <v>66.151309999999995</v>
      </c>
    </row>
    <row r="124" spans="1:6">
      <c r="A124" s="8" t="s">
        <v>282</v>
      </c>
      <c r="B124" s="8" t="s">
        <v>283</v>
      </c>
      <c r="C124" s="9">
        <v>540.69899999999996</v>
      </c>
      <c r="D124" s="9">
        <v>833.73620000000005</v>
      </c>
      <c r="E124" s="9">
        <v>76.232339999999994</v>
      </c>
      <c r="F124" s="9">
        <v>77.662289999999999</v>
      </c>
    </row>
    <row r="125" spans="1:6">
      <c r="A125" s="8" t="s">
        <v>284</v>
      </c>
      <c r="B125" s="8" t="s">
        <v>285</v>
      </c>
      <c r="C125" s="9">
        <v>43.722209999999997</v>
      </c>
      <c r="D125" s="9">
        <v>146.11330000000001</v>
      </c>
      <c r="E125" s="9">
        <v>71.241709999999998</v>
      </c>
      <c r="F125" s="9">
        <v>72.835340000000002</v>
      </c>
    </row>
    <row r="126" spans="1:6">
      <c r="A126" s="8" t="s">
        <v>286</v>
      </c>
      <c r="B126" s="8" t="s">
        <v>287</v>
      </c>
      <c r="C126" s="9">
        <v>2827.451</v>
      </c>
      <c r="D126" s="9">
        <v>3189.7840000000001</v>
      </c>
      <c r="E126" s="9">
        <v>81.076099999999997</v>
      </c>
      <c r="F126" s="9">
        <v>82.587559999999996</v>
      </c>
    </row>
    <row r="127" spans="1:6">
      <c r="A127" s="8" t="s">
        <v>288</v>
      </c>
      <c r="B127" s="8" t="s">
        <v>289</v>
      </c>
      <c r="C127" s="9">
        <v>33.471699999999998</v>
      </c>
      <c r="D127" s="9">
        <v>68.025390000000002</v>
      </c>
      <c r="E127" s="9">
        <v>66.795140000000004</v>
      </c>
      <c r="F127" s="9">
        <v>67.988929999999996</v>
      </c>
    </row>
    <row r="128" spans="1:6">
      <c r="A128" s="8" t="s">
        <v>290</v>
      </c>
      <c r="B128" s="8" t="s">
        <v>291</v>
      </c>
      <c r="C128" s="9">
        <v>543.0566</v>
      </c>
      <c r="D128" s="9">
        <v>1244.952</v>
      </c>
      <c r="E128" s="9">
        <v>75.85548</v>
      </c>
      <c r="F128" s="9">
        <v>79.832679999999996</v>
      </c>
    </row>
    <row r="129" spans="1:6">
      <c r="A129" s="8" t="s">
        <v>292</v>
      </c>
      <c r="B129" s="8" t="s">
        <v>293</v>
      </c>
      <c r="C129" s="9">
        <v>16.544329999999999</v>
      </c>
      <c r="D129" s="9">
        <v>42.78886</v>
      </c>
      <c r="E129" s="9">
        <v>57.464149999999997</v>
      </c>
      <c r="F129" s="9">
        <v>61.580849999999998</v>
      </c>
    </row>
    <row r="130" spans="1:6">
      <c r="A130" s="8" t="s">
        <v>294</v>
      </c>
      <c r="B130" s="8" t="s">
        <v>295</v>
      </c>
      <c r="C130" s="9">
        <v>10.2392</v>
      </c>
      <c r="D130" s="9">
        <v>33.987180000000002</v>
      </c>
      <c r="E130" s="9">
        <v>61.39461</v>
      </c>
      <c r="F130" s="9">
        <v>66.184389999999993</v>
      </c>
    </row>
    <row r="131" spans="1:6">
      <c r="A131" s="8" t="s">
        <v>296</v>
      </c>
      <c r="B131" s="8" t="s">
        <v>297</v>
      </c>
      <c r="C131" s="9">
        <v>128.12049999999999</v>
      </c>
      <c r="D131" s="9">
        <v>353.2029</v>
      </c>
      <c r="E131" s="9">
        <v>72.142489999999995</v>
      </c>
      <c r="F131" s="9">
        <v>73.568119999999993</v>
      </c>
    </row>
    <row r="132" spans="1:6">
      <c r="A132" s="8" t="s">
        <v>298</v>
      </c>
      <c r="B132" s="8" t="s">
        <v>299</v>
      </c>
      <c r="C132" s="9">
        <v>3.263401</v>
      </c>
      <c r="D132" s="9">
        <v>9.9595990000000008</v>
      </c>
      <c r="E132" s="9">
        <v>61.855710000000002</v>
      </c>
      <c r="F132" s="9">
        <v>63.781759999999998</v>
      </c>
    </row>
    <row r="133" spans="1:6">
      <c r="A133" s="8" t="s">
        <v>300</v>
      </c>
      <c r="B133" s="8" t="s">
        <v>301</v>
      </c>
      <c r="C133" s="9">
        <v>648.25310000000002</v>
      </c>
      <c r="D133" s="9">
        <v>1403.653</v>
      </c>
      <c r="E133" s="9">
        <v>78.051220000000001</v>
      </c>
      <c r="F133" s="9">
        <v>80.79025</v>
      </c>
    </row>
    <row r="134" spans="1:6">
      <c r="A134" s="8" t="s">
        <v>302</v>
      </c>
      <c r="B134" s="8" t="s">
        <v>303</v>
      </c>
      <c r="C134" s="9">
        <v>66.836119999999994</v>
      </c>
      <c r="D134" s="9">
        <v>163.82660000000001</v>
      </c>
      <c r="E134" s="9">
        <v>72.515219999999999</v>
      </c>
      <c r="F134" s="9">
        <v>73.61327</v>
      </c>
    </row>
    <row r="135" spans="1:6">
      <c r="A135" s="8" t="s">
        <v>304</v>
      </c>
      <c r="B135" s="8" t="s">
        <v>305</v>
      </c>
      <c r="C135" s="9">
        <v>21.54214</v>
      </c>
      <c r="D135" s="9">
        <v>75.783779999999993</v>
      </c>
      <c r="E135" s="9">
        <v>71.945509999999999</v>
      </c>
      <c r="F135" s="9">
        <v>74.385459999999995</v>
      </c>
    </row>
    <row r="136" spans="1:6">
      <c r="A136" s="8" t="s">
        <v>306</v>
      </c>
      <c r="B136" s="8" t="s">
        <v>307</v>
      </c>
      <c r="C136" s="9">
        <v>154.92269999999999</v>
      </c>
      <c r="D136" s="9">
        <v>529.78899999999999</v>
      </c>
      <c r="E136" s="9">
        <v>50.76549</v>
      </c>
      <c r="F136" s="9">
        <v>52.663679999999999</v>
      </c>
    </row>
    <row r="137" spans="1:6">
      <c r="A137" s="8" t="s">
        <v>308</v>
      </c>
      <c r="B137" s="8" t="s">
        <v>309</v>
      </c>
      <c r="C137" s="9">
        <v>17.152249999999999</v>
      </c>
      <c r="D137" s="9">
        <v>33.112360000000002</v>
      </c>
      <c r="E137" s="9">
        <v>52.299630000000001</v>
      </c>
      <c r="F137" s="9">
        <v>55.124220000000001</v>
      </c>
    </row>
    <row r="138" spans="1:6">
      <c r="A138" s="8" t="s">
        <v>310</v>
      </c>
      <c r="B138" s="8" t="s">
        <v>311</v>
      </c>
      <c r="C138" s="9">
        <v>9.2018120000000003</v>
      </c>
      <c r="D138" s="9">
        <v>45.424689999999998</v>
      </c>
      <c r="E138" s="9">
        <v>46.510219999999997</v>
      </c>
      <c r="F138" s="9">
        <v>54.206200000000003</v>
      </c>
    </row>
    <row r="139" spans="1:6">
      <c r="A139" s="8" t="s">
        <v>312</v>
      </c>
      <c r="B139" s="8" t="s">
        <v>313</v>
      </c>
      <c r="C139" s="9">
        <v>10.07451</v>
      </c>
      <c r="D139" s="9">
        <v>22.14847</v>
      </c>
      <c r="E139" s="9">
        <v>50.373289999999997</v>
      </c>
      <c r="F139" s="9">
        <v>55.769440000000003</v>
      </c>
    </row>
    <row r="140" spans="1:6">
      <c r="A140" s="8" t="s">
        <v>314</v>
      </c>
      <c r="B140" s="8" t="s">
        <v>315</v>
      </c>
      <c r="C140" s="9">
        <v>17.528670000000002</v>
      </c>
      <c r="D140" s="9">
        <v>68.359409999999997</v>
      </c>
      <c r="E140" s="9">
        <v>41.929879999999997</v>
      </c>
      <c r="F140" s="9">
        <v>47.052439999999997</v>
      </c>
    </row>
    <row r="141" spans="1:6">
      <c r="A141" s="8" t="s">
        <v>316</v>
      </c>
      <c r="B141" s="8" t="s">
        <v>317</v>
      </c>
      <c r="C141" s="9">
        <v>27.844449999999998</v>
      </c>
      <c r="D141" s="9">
        <v>60.467730000000003</v>
      </c>
      <c r="E141" s="9">
        <v>47.586359999999999</v>
      </c>
      <c r="F141" s="9">
        <v>45.931559999999998</v>
      </c>
    </row>
    <row r="142" spans="1:6">
      <c r="A142" s="8" t="s">
        <v>318</v>
      </c>
      <c r="B142" s="8" t="s">
        <v>319</v>
      </c>
      <c r="C142" s="9">
        <v>8.8450159999999993</v>
      </c>
      <c r="D142" s="9">
        <v>17.900780000000001</v>
      </c>
      <c r="E142" s="9">
        <v>46.029730000000001</v>
      </c>
      <c r="F142" s="9">
        <v>51.804729999999999</v>
      </c>
    </row>
    <row r="143" spans="1:6">
      <c r="A143" s="8" t="s">
        <v>320</v>
      </c>
      <c r="B143" s="8" t="s">
        <v>321</v>
      </c>
      <c r="C143" s="9">
        <v>13.94979</v>
      </c>
      <c r="D143" s="9">
        <v>20.530740000000002</v>
      </c>
      <c r="E143" s="9">
        <v>47.237850000000002</v>
      </c>
      <c r="F143" s="9">
        <v>48.898389999999999</v>
      </c>
    </row>
    <row r="144" spans="1:6">
      <c r="A144" s="8" t="s">
        <v>322</v>
      </c>
      <c r="B144" s="8" t="s">
        <v>323</v>
      </c>
      <c r="C144" s="9">
        <v>250.6841</v>
      </c>
      <c r="D144" s="9">
        <v>458.68369999999999</v>
      </c>
      <c r="E144" s="9">
        <v>54.776319999999998</v>
      </c>
      <c r="F144" s="9">
        <v>51.240220000000001</v>
      </c>
    </row>
    <row r="145" spans="1:6">
      <c r="A145" s="8" t="s">
        <v>324</v>
      </c>
      <c r="B145" s="8" t="s">
        <v>325</v>
      </c>
      <c r="C145" s="9">
        <v>78.318709999999996</v>
      </c>
      <c r="D145" s="9">
        <v>141.3486</v>
      </c>
      <c r="E145" s="9">
        <v>48.67022</v>
      </c>
      <c r="F145" s="9">
        <v>47.341929999999998</v>
      </c>
    </row>
    <row r="146" spans="1:6">
      <c r="A146" s="8" t="s">
        <v>326</v>
      </c>
      <c r="B146" s="8" t="s">
        <v>327</v>
      </c>
      <c r="C146" s="9">
        <v>15.40122</v>
      </c>
      <c r="D146" s="9">
        <v>147.77590000000001</v>
      </c>
      <c r="E146" s="9">
        <v>45.204929999999997</v>
      </c>
      <c r="F146" s="9">
        <v>49.84742</v>
      </c>
    </row>
    <row r="147" spans="1:6">
      <c r="A147" s="8" t="s">
        <v>328</v>
      </c>
      <c r="B147" s="8" t="s">
        <v>329</v>
      </c>
      <c r="C147" s="9">
        <v>22.3931</v>
      </c>
      <c r="D147" s="9">
        <v>81.138630000000006</v>
      </c>
      <c r="E147" s="9">
        <v>54.145850000000003</v>
      </c>
      <c r="F147" s="9">
        <v>56.15934</v>
      </c>
    </row>
    <row r="148" spans="1:6">
      <c r="A148" s="8" t="s">
        <v>330</v>
      </c>
      <c r="B148" s="8" t="s">
        <v>331</v>
      </c>
      <c r="C148" s="9">
        <v>11.183820000000001</v>
      </c>
      <c r="D148" s="9">
        <v>13.324450000000001</v>
      </c>
      <c r="E148" s="9">
        <v>45.651899999999998</v>
      </c>
      <c r="F148" s="9">
        <v>47.557340000000003</v>
      </c>
    </row>
    <row r="149" spans="1:6">
      <c r="A149" s="8" t="s">
        <v>332</v>
      </c>
      <c r="B149" s="8" t="s">
        <v>333</v>
      </c>
      <c r="C149" s="9">
        <v>102.52</v>
      </c>
      <c r="D149" s="9">
        <v>263.72370000000001</v>
      </c>
      <c r="E149" s="9">
        <v>59.690950000000001</v>
      </c>
      <c r="F149" s="9">
        <v>61.381120000000003</v>
      </c>
    </row>
    <row r="150" spans="1:6">
      <c r="A150" s="8" t="s">
        <v>334</v>
      </c>
      <c r="B150" s="8" t="s">
        <v>335</v>
      </c>
      <c r="C150" s="9">
        <v>131.0155</v>
      </c>
      <c r="D150" s="9">
        <v>284.32940000000002</v>
      </c>
      <c r="E150" s="9">
        <v>57.657730000000001</v>
      </c>
      <c r="F150" s="9">
        <v>60.989339999999999</v>
      </c>
    </row>
    <row r="151" spans="1:6">
      <c r="A151" s="8" t="s">
        <v>336</v>
      </c>
      <c r="B151" s="8" t="s">
        <v>337</v>
      </c>
      <c r="C151" s="9">
        <v>1054.7149999999999</v>
      </c>
      <c r="D151" s="9">
        <v>2917.2930000000001</v>
      </c>
      <c r="E151" s="9">
        <v>78.636589999999998</v>
      </c>
      <c r="F151" s="9">
        <v>80.351219999999998</v>
      </c>
    </row>
    <row r="152" spans="1:6">
      <c r="A152" s="8" t="s">
        <v>338</v>
      </c>
      <c r="B152" s="8" t="s">
        <v>339</v>
      </c>
      <c r="C152" s="9">
        <v>9.4297009999999997</v>
      </c>
      <c r="D152" s="9">
        <v>21.734839999999998</v>
      </c>
      <c r="E152" s="9">
        <v>59.67456</v>
      </c>
      <c r="F152" s="9">
        <v>65.835530000000006</v>
      </c>
    </row>
    <row r="153" spans="1:6">
      <c r="A153" s="8" t="s">
        <v>340</v>
      </c>
      <c r="B153" s="8" t="s">
        <v>341</v>
      </c>
      <c r="C153" s="9">
        <v>15.842499999999999</v>
      </c>
      <c r="D153" s="9">
        <v>50.852600000000002</v>
      </c>
      <c r="E153" s="9">
        <v>65.646360000000001</v>
      </c>
      <c r="F153" s="9">
        <v>68.075149999999994</v>
      </c>
    </row>
    <row r="154" spans="1:6">
      <c r="A154" s="8" t="s">
        <v>342</v>
      </c>
      <c r="B154" s="8" t="s">
        <v>343</v>
      </c>
      <c r="C154" s="9">
        <v>1728.462</v>
      </c>
      <c r="D154" s="9">
        <v>4179.6480000000001</v>
      </c>
      <c r="E154" s="9">
        <v>79.23415</v>
      </c>
      <c r="F154" s="9">
        <v>81.395120000000006</v>
      </c>
    </row>
    <row r="155" spans="1:6">
      <c r="A155" s="8" t="s">
        <v>344</v>
      </c>
      <c r="B155" s="8" t="s">
        <v>345</v>
      </c>
      <c r="C155" s="9">
        <v>26.08306</v>
      </c>
      <c r="D155" s="9">
        <v>39.007370000000002</v>
      </c>
      <c r="E155" s="9">
        <v>58.795780000000001</v>
      </c>
      <c r="F155" s="9">
        <v>61.701169999999998</v>
      </c>
    </row>
    <row r="156" spans="1:6">
      <c r="A156" s="8" t="s">
        <v>346</v>
      </c>
      <c r="B156" s="8" t="s">
        <v>347</v>
      </c>
      <c r="C156" s="9">
        <v>44.420720000000003</v>
      </c>
      <c r="D156" s="9">
        <v>498.66559999999998</v>
      </c>
      <c r="E156" s="9">
        <v>72.136589999999998</v>
      </c>
      <c r="F156" s="9">
        <v>73.636589999999998</v>
      </c>
    </row>
    <row r="157" spans="1:6">
      <c r="A157" s="8" t="s">
        <v>348</v>
      </c>
      <c r="B157" s="8" t="s">
        <v>349</v>
      </c>
      <c r="C157" s="9">
        <v>1908.7090000000001</v>
      </c>
      <c r="D157" s="9">
        <v>5242.8959999999997</v>
      </c>
      <c r="E157" s="9">
        <v>77.987809999999996</v>
      </c>
      <c r="F157" s="9">
        <v>80.251220000000004</v>
      </c>
    </row>
  </sheetData>
  <mergeCells count="2">
    <mergeCell ref="G6:I6"/>
    <mergeCell ref="G7:I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8A95-7010-42B7-9E73-6C83CC827619}">
  <dimension ref="A1:P157"/>
  <sheetViews>
    <sheetView tabSelected="1" topLeftCell="A13" workbookViewId="0">
      <selection activeCell="G29" sqref="G29"/>
    </sheetView>
  </sheetViews>
  <sheetFormatPr baseColWidth="10" defaultRowHeight="13.2"/>
  <cols>
    <col min="3" max="3" width="15.88671875" customWidth="1"/>
    <col min="7" max="7" width="7.6640625" customWidth="1"/>
    <col min="8" max="8" width="19.6640625" customWidth="1"/>
    <col min="9" max="9" width="14" customWidth="1"/>
    <col min="10" max="10" width="6.5546875" customWidth="1"/>
    <col min="11" max="11" width="13" customWidth="1"/>
    <col min="12" max="12" width="7.6640625" customWidth="1"/>
    <col min="13" max="13" width="16.109375" customWidth="1"/>
    <col min="14" max="14" width="7.77734375" customWidth="1"/>
    <col min="16" max="16" width="10.21875" customWidth="1"/>
  </cols>
  <sheetData>
    <row r="1" spans="1:16" ht="30.6" customHeight="1">
      <c r="A1" s="8" t="s">
        <v>34</v>
      </c>
      <c r="B1" s="8" t="s">
        <v>35</v>
      </c>
      <c r="C1" s="8" t="s">
        <v>36</v>
      </c>
      <c r="D1" s="8" t="s">
        <v>6</v>
      </c>
      <c r="E1" s="8" t="s">
        <v>37</v>
      </c>
      <c r="F1" s="8" t="s">
        <v>8</v>
      </c>
      <c r="H1" s="17" t="s">
        <v>354</v>
      </c>
      <c r="I1" s="19" t="s">
        <v>355</v>
      </c>
      <c r="K1" s="21" t="s">
        <v>360</v>
      </c>
      <c r="L1" s="22"/>
      <c r="M1" s="23" t="s">
        <v>361</v>
      </c>
      <c r="O1" s="32" t="s">
        <v>353</v>
      </c>
      <c r="P1" s="32"/>
    </row>
    <row r="2" spans="1:16" ht="17.399999999999999" customHeight="1">
      <c r="A2" s="8" t="s">
        <v>38</v>
      </c>
      <c r="B2" s="8" t="s">
        <v>39</v>
      </c>
      <c r="C2" s="9">
        <v>51.3611</v>
      </c>
      <c r="D2" s="9">
        <v>122.3027</v>
      </c>
      <c r="E2" s="9">
        <v>64.448269999999994</v>
      </c>
      <c r="F2" s="9">
        <v>68.799220000000005</v>
      </c>
      <c r="H2" s="18">
        <f>RANK(D2,D$2:D$157,1)</f>
        <v>60</v>
      </c>
      <c r="I2" s="20">
        <f>RANK(F2,F$2:F$157,1)</f>
        <v>65</v>
      </c>
      <c r="K2" s="21">
        <f>H2-I2</f>
        <v>-5</v>
      </c>
      <c r="L2" s="22"/>
      <c r="M2" s="24">
        <f>K2/(H2+I2)</f>
        <v>-0.04</v>
      </c>
      <c r="O2" s="33">
        <f>CORREL(H2:H157,I2:I157)</f>
        <v>0.84909416709729302</v>
      </c>
      <c r="P2" s="33"/>
    </row>
    <row r="3" spans="1:16" ht="13.8">
      <c r="A3" s="8" t="s">
        <v>40</v>
      </c>
      <c r="B3" s="8" t="s">
        <v>41</v>
      </c>
      <c r="C3" s="9">
        <v>151.66139999999999</v>
      </c>
      <c r="D3" s="9">
        <v>422.95409999999998</v>
      </c>
      <c r="E3" s="9">
        <v>67.935299999999998</v>
      </c>
      <c r="F3" s="9">
        <v>69.775710000000004</v>
      </c>
      <c r="H3" s="18">
        <f>RANK(D3,D$2:D$157,1)</f>
        <v>90</v>
      </c>
      <c r="I3" s="20">
        <f t="shared" ref="I3:I57" si="0">RANK(F3,F$2:F$157,1)</f>
        <v>66</v>
      </c>
      <c r="K3" s="21">
        <f t="shared" ref="K3:K66" si="1">H3-I3</f>
        <v>24</v>
      </c>
      <c r="L3" s="22"/>
      <c r="M3" s="24">
        <f t="shared" ref="M3:M66" si="2">K3/(H3+I3)</f>
        <v>0.15384615384615385</v>
      </c>
    </row>
    <row r="4" spans="1:16" ht="13.8">
      <c r="A4" s="8" t="s">
        <v>42</v>
      </c>
      <c r="B4" s="8" t="s">
        <v>43</v>
      </c>
      <c r="C4" s="9">
        <v>273.1157</v>
      </c>
      <c r="D4" s="9">
        <v>596.96339999999998</v>
      </c>
      <c r="E4" s="9">
        <v>73.26952</v>
      </c>
      <c r="F4" s="9">
        <v>73.757559999999998</v>
      </c>
      <c r="H4" s="18">
        <f t="shared" ref="H4:H66" si="3">RANK(D4,D$2:D$157,1)</f>
        <v>104</v>
      </c>
      <c r="I4" s="20">
        <f t="shared" si="0"/>
        <v>100</v>
      </c>
      <c r="K4" s="21">
        <f t="shared" si="1"/>
        <v>4</v>
      </c>
      <c r="L4" s="22"/>
      <c r="M4" s="24">
        <f t="shared" si="2"/>
        <v>1.9607843137254902E-2</v>
      </c>
    </row>
    <row r="5" spans="1:16" ht="13.8">
      <c r="A5" s="8" t="s">
        <v>44</v>
      </c>
      <c r="B5" s="8" t="s">
        <v>45</v>
      </c>
      <c r="C5" s="9">
        <v>688.97130000000004</v>
      </c>
      <c r="D5" s="9">
        <v>695.46190000000001</v>
      </c>
      <c r="E5" s="9">
        <v>73.717969999999994</v>
      </c>
      <c r="F5" s="9">
        <v>75.292529999999999</v>
      </c>
      <c r="H5" s="18">
        <f t="shared" si="3"/>
        <v>110</v>
      </c>
      <c r="I5" s="20">
        <f t="shared" si="0"/>
        <v>112</v>
      </c>
      <c r="K5" s="21">
        <f t="shared" si="1"/>
        <v>-2</v>
      </c>
      <c r="L5" s="22"/>
      <c r="M5" s="24">
        <f t="shared" si="2"/>
        <v>-9.0090090090090089E-3</v>
      </c>
    </row>
    <row r="6" spans="1:16" ht="13.8">
      <c r="A6" s="8" t="s">
        <v>46</v>
      </c>
      <c r="B6" s="8" t="s">
        <v>47</v>
      </c>
      <c r="C6" s="9">
        <v>61.344569999999997</v>
      </c>
      <c r="D6" s="9">
        <v>74.985680000000002</v>
      </c>
      <c r="E6" s="9">
        <v>62.963679999999997</v>
      </c>
      <c r="F6" s="9">
        <v>65.658100000000005</v>
      </c>
      <c r="H6" s="18">
        <f t="shared" si="3"/>
        <v>48</v>
      </c>
      <c r="I6" s="20">
        <f t="shared" si="0"/>
        <v>48</v>
      </c>
      <c r="K6" s="21">
        <f t="shared" si="1"/>
        <v>0</v>
      </c>
      <c r="L6" s="22"/>
      <c r="M6" s="24">
        <f t="shared" si="2"/>
        <v>0</v>
      </c>
    </row>
    <row r="7" spans="1:16" ht="13.8">
      <c r="A7" s="8" t="s">
        <v>48</v>
      </c>
      <c r="B7" s="8" t="s">
        <v>49</v>
      </c>
      <c r="C7" s="9">
        <v>265.19099999999997</v>
      </c>
      <c r="D7" s="9">
        <v>720.50350000000003</v>
      </c>
      <c r="E7" s="9">
        <v>70.138270000000006</v>
      </c>
      <c r="F7" s="9">
        <v>72.427099999999996</v>
      </c>
      <c r="H7" s="18">
        <f t="shared" si="3"/>
        <v>111</v>
      </c>
      <c r="I7" s="20">
        <f t="shared" si="0"/>
        <v>80</v>
      </c>
      <c r="K7" s="21">
        <f t="shared" si="1"/>
        <v>31</v>
      </c>
      <c r="L7" s="22"/>
      <c r="M7" s="24">
        <f t="shared" si="2"/>
        <v>0.16230366492146597</v>
      </c>
    </row>
    <row r="8" spans="1:16" ht="13.8">
      <c r="A8" s="8" t="s">
        <v>50</v>
      </c>
      <c r="B8" s="8" t="s">
        <v>51</v>
      </c>
      <c r="C8" s="9">
        <v>323.59179999999998</v>
      </c>
      <c r="D8" s="9">
        <v>761.95479999999998</v>
      </c>
      <c r="E8" s="9">
        <v>76.821730000000002</v>
      </c>
      <c r="F8" s="9">
        <v>78.647220000000004</v>
      </c>
      <c r="H8" s="18">
        <f t="shared" si="3"/>
        <v>113</v>
      </c>
      <c r="I8" s="20">
        <f t="shared" si="0"/>
        <v>128</v>
      </c>
      <c r="K8" s="21">
        <f t="shared" si="1"/>
        <v>-15</v>
      </c>
      <c r="L8" s="22"/>
      <c r="M8" s="24">
        <f t="shared" si="2"/>
        <v>-6.2240663900414939E-2</v>
      </c>
    </row>
    <row r="9" spans="1:16" ht="13.8">
      <c r="A9" s="8" t="s">
        <v>52</v>
      </c>
      <c r="B9" s="8" t="s">
        <v>53</v>
      </c>
      <c r="C9" s="9">
        <v>53.732100000000003</v>
      </c>
      <c r="D9" s="9">
        <v>215.89709999999999</v>
      </c>
      <c r="E9" s="9">
        <v>73.392049999999998</v>
      </c>
      <c r="F9" s="9">
        <v>75.150589999999994</v>
      </c>
      <c r="H9" s="18">
        <f t="shared" si="3"/>
        <v>72</v>
      </c>
      <c r="I9" s="20">
        <f t="shared" si="0"/>
        <v>111</v>
      </c>
      <c r="K9" s="21">
        <f t="shared" si="1"/>
        <v>-39</v>
      </c>
      <c r="L9" s="22"/>
      <c r="M9" s="24">
        <f t="shared" si="2"/>
        <v>-0.21311475409836064</v>
      </c>
    </row>
    <row r="10" spans="1:16" ht="13.8">
      <c r="A10" s="8" t="s">
        <v>54</v>
      </c>
      <c r="B10" s="8" t="s">
        <v>55</v>
      </c>
      <c r="C10" s="9">
        <v>122.21299999999999</v>
      </c>
      <c r="D10" s="9">
        <v>161.48490000000001</v>
      </c>
      <c r="E10" s="9">
        <v>70.045199999999994</v>
      </c>
      <c r="F10" s="9">
        <v>71.861710000000002</v>
      </c>
      <c r="H10" s="18">
        <f t="shared" si="3"/>
        <v>67</v>
      </c>
      <c r="I10" s="20">
        <f t="shared" si="0"/>
        <v>73</v>
      </c>
      <c r="K10" s="21">
        <f t="shared" si="1"/>
        <v>-6</v>
      </c>
      <c r="L10" s="22"/>
      <c r="M10" s="24">
        <f t="shared" si="2"/>
        <v>-4.2857142857142858E-2</v>
      </c>
    </row>
    <row r="11" spans="1:16" ht="13.8">
      <c r="A11" s="8" t="s">
        <v>56</v>
      </c>
      <c r="B11" s="8" t="s">
        <v>57</v>
      </c>
      <c r="C11" s="9">
        <v>96.281700000000001</v>
      </c>
      <c r="D11" s="9">
        <v>200.2278</v>
      </c>
      <c r="E11" s="9">
        <v>70.476259999999996</v>
      </c>
      <c r="F11" s="9">
        <v>73.305710000000005</v>
      </c>
      <c r="H11" s="18">
        <f t="shared" si="3"/>
        <v>71</v>
      </c>
      <c r="I11" s="20">
        <f t="shared" si="0"/>
        <v>92</v>
      </c>
      <c r="K11" s="21">
        <f t="shared" si="1"/>
        <v>-21</v>
      </c>
      <c r="L11" s="22"/>
      <c r="M11" s="24">
        <f t="shared" si="2"/>
        <v>-0.12883435582822086</v>
      </c>
    </row>
    <row r="12" spans="1:16" ht="13.8">
      <c r="A12" s="8" t="s">
        <v>58</v>
      </c>
      <c r="B12" s="8" t="s">
        <v>59</v>
      </c>
      <c r="C12" s="9">
        <v>772.83659999999998</v>
      </c>
      <c r="D12" s="9">
        <v>724.5634</v>
      </c>
      <c r="E12" s="9">
        <v>74.886830000000003</v>
      </c>
      <c r="F12" s="9">
        <v>75.980729999999994</v>
      </c>
      <c r="H12" s="18">
        <f t="shared" si="3"/>
        <v>112</v>
      </c>
      <c r="I12" s="20">
        <f t="shared" si="0"/>
        <v>118</v>
      </c>
      <c r="K12" s="21">
        <f t="shared" si="1"/>
        <v>-6</v>
      </c>
      <c r="L12" s="22"/>
      <c r="M12" s="24">
        <f t="shared" si="2"/>
        <v>-2.6086956521739129E-2</v>
      </c>
    </row>
    <row r="13" spans="1:16" ht="13.8">
      <c r="A13" s="8" t="s">
        <v>60</v>
      </c>
      <c r="B13" s="8" t="s">
        <v>61</v>
      </c>
      <c r="C13" s="9">
        <v>2082.2669999999998</v>
      </c>
      <c r="D13" s="9">
        <v>4445.4629999999997</v>
      </c>
      <c r="E13" s="9">
        <v>79.236590000000007</v>
      </c>
      <c r="F13" s="9">
        <v>80.964870000000005</v>
      </c>
      <c r="H13" s="18">
        <f t="shared" si="3"/>
        <v>142</v>
      </c>
      <c r="I13" s="20">
        <f t="shared" si="0"/>
        <v>147</v>
      </c>
      <c r="K13" s="21">
        <f t="shared" si="1"/>
        <v>-5</v>
      </c>
      <c r="L13" s="22"/>
      <c r="M13" s="24">
        <f t="shared" si="2"/>
        <v>-1.7301038062283738E-2</v>
      </c>
    </row>
    <row r="14" spans="1:16" ht="13.8">
      <c r="A14" s="8" t="s">
        <v>62</v>
      </c>
      <c r="B14" s="8" t="s">
        <v>63</v>
      </c>
      <c r="C14" s="9">
        <v>95.103840000000005</v>
      </c>
      <c r="D14" s="9">
        <v>183.98429999999999</v>
      </c>
      <c r="E14" s="9">
        <v>67.744169999999997</v>
      </c>
      <c r="F14" s="9">
        <v>70.352339999999998</v>
      </c>
      <c r="H14" s="18">
        <f t="shared" si="3"/>
        <v>70</v>
      </c>
      <c r="I14" s="20">
        <f t="shared" si="0"/>
        <v>68</v>
      </c>
      <c r="K14" s="21">
        <f t="shared" si="1"/>
        <v>2</v>
      </c>
      <c r="L14" s="22"/>
      <c r="M14" s="24">
        <f t="shared" si="2"/>
        <v>1.4492753623188406E-2</v>
      </c>
    </row>
    <row r="15" spans="1:16" ht="13.8">
      <c r="A15" s="8" t="s">
        <v>64</v>
      </c>
      <c r="B15" s="8" t="s">
        <v>65</v>
      </c>
      <c r="C15" s="9">
        <v>324.25349999999997</v>
      </c>
      <c r="D15" s="9">
        <v>588.05640000000005</v>
      </c>
      <c r="E15" s="9">
        <v>74.274249999999995</v>
      </c>
      <c r="F15" s="9">
        <v>76.236339999999998</v>
      </c>
      <c r="H15" s="18">
        <f t="shared" si="3"/>
        <v>103</v>
      </c>
      <c r="I15" s="20">
        <f t="shared" si="0"/>
        <v>120</v>
      </c>
      <c r="K15" s="21">
        <f t="shared" si="1"/>
        <v>-17</v>
      </c>
      <c r="L15" s="22"/>
      <c r="M15" s="24">
        <f t="shared" si="2"/>
        <v>-7.623318385650224E-2</v>
      </c>
    </row>
    <row r="16" spans="1:16" ht="13.8">
      <c r="A16" s="8" t="s">
        <v>66</v>
      </c>
      <c r="B16" s="8" t="s">
        <v>67</v>
      </c>
      <c r="C16" s="9">
        <v>170.0684</v>
      </c>
      <c r="D16" s="9">
        <v>261.32909999999998</v>
      </c>
      <c r="E16" s="9">
        <v>70.893709999999999</v>
      </c>
      <c r="F16" s="9">
        <v>72.728949999999998</v>
      </c>
      <c r="H16" s="18">
        <f t="shared" si="3"/>
        <v>79</v>
      </c>
      <c r="I16" s="20">
        <f t="shared" si="0"/>
        <v>83</v>
      </c>
      <c r="K16" s="21">
        <f t="shared" si="1"/>
        <v>-4</v>
      </c>
      <c r="L16" s="22"/>
      <c r="M16" s="24">
        <f t="shared" si="2"/>
        <v>-2.4691358024691357E-2</v>
      </c>
    </row>
    <row r="17" spans="1:13" ht="13.8">
      <c r="A17" s="8" t="s">
        <v>68</v>
      </c>
      <c r="B17" s="8" t="s">
        <v>69</v>
      </c>
      <c r="C17" s="9">
        <v>25.671620000000001</v>
      </c>
      <c r="D17" s="9">
        <v>39.788490000000003</v>
      </c>
      <c r="E17" s="9">
        <v>58.372070000000001</v>
      </c>
      <c r="F17" s="9">
        <v>61.074779999999997</v>
      </c>
      <c r="H17" s="18">
        <f t="shared" si="3"/>
        <v>26</v>
      </c>
      <c r="I17" s="20">
        <f t="shared" si="0"/>
        <v>38</v>
      </c>
      <c r="K17" s="21">
        <f t="shared" si="1"/>
        <v>-12</v>
      </c>
      <c r="L17" s="22"/>
      <c r="M17" s="24">
        <f t="shared" si="2"/>
        <v>-0.1875</v>
      </c>
    </row>
    <row r="18" spans="1:13" ht="13.8">
      <c r="A18" s="8" t="s">
        <v>70</v>
      </c>
      <c r="B18" s="8" t="s">
        <v>71</v>
      </c>
      <c r="C18" s="9">
        <v>190.49539999999999</v>
      </c>
      <c r="D18" s="9">
        <v>256.47160000000002</v>
      </c>
      <c r="E18" s="9">
        <v>70.472290000000001</v>
      </c>
      <c r="F18" s="9">
        <v>72.32302</v>
      </c>
      <c r="H18" s="18">
        <f t="shared" si="3"/>
        <v>77</v>
      </c>
      <c r="I18" s="20">
        <f t="shared" si="0"/>
        <v>77</v>
      </c>
      <c r="K18" s="21">
        <f t="shared" si="1"/>
        <v>0</v>
      </c>
      <c r="L18" s="22"/>
      <c r="M18" s="24">
        <f t="shared" si="2"/>
        <v>0</v>
      </c>
    </row>
    <row r="19" spans="1:13" ht="13.8">
      <c r="A19" s="8" t="s">
        <v>72</v>
      </c>
      <c r="B19" s="8" t="s">
        <v>73</v>
      </c>
      <c r="C19" s="9">
        <v>161.1583</v>
      </c>
      <c r="D19" s="9">
        <v>317.36290000000002</v>
      </c>
      <c r="E19" s="9">
        <v>71.000979999999998</v>
      </c>
      <c r="F19" s="9">
        <v>72.984340000000003</v>
      </c>
      <c r="H19" s="18">
        <f t="shared" si="3"/>
        <v>84</v>
      </c>
      <c r="I19" s="20">
        <f t="shared" si="0"/>
        <v>86</v>
      </c>
      <c r="K19" s="21">
        <f t="shared" si="1"/>
        <v>-2</v>
      </c>
      <c r="L19" s="22"/>
      <c r="M19" s="24">
        <f t="shared" si="2"/>
        <v>-1.1764705882352941E-2</v>
      </c>
    </row>
    <row r="20" spans="1:13" ht="13.8">
      <c r="A20" s="8" t="s">
        <v>74</v>
      </c>
      <c r="B20" s="8" t="s">
        <v>75</v>
      </c>
      <c r="C20" s="9">
        <v>264.72199999999998</v>
      </c>
      <c r="D20" s="9">
        <v>618.15049999999997</v>
      </c>
      <c r="E20" s="9">
        <v>77.804069999999996</v>
      </c>
      <c r="F20" s="9">
        <v>78.946269999999998</v>
      </c>
      <c r="H20" s="18">
        <f t="shared" si="3"/>
        <v>106</v>
      </c>
      <c r="I20" s="20">
        <f t="shared" si="0"/>
        <v>130</v>
      </c>
      <c r="K20" s="21">
        <f t="shared" si="1"/>
        <v>-24</v>
      </c>
      <c r="L20" s="22"/>
      <c r="M20" s="24">
        <f t="shared" si="2"/>
        <v>-0.10169491525423729</v>
      </c>
    </row>
    <row r="21" spans="1:13" ht="13.8">
      <c r="A21" s="8" t="s">
        <v>76</v>
      </c>
      <c r="B21" s="8" t="s">
        <v>77</v>
      </c>
      <c r="C21" s="9">
        <v>184.1857</v>
      </c>
      <c r="D21" s="9">
        <v>671.5018</v>
      </c>
      <c r="E21" s="9">
        <v>76.365809999999996</v>
      </c>
      <c r="F21" s="9">
        <v>78.547420000000002</v>
      </c>
      <c r="H21" s="18">
        <f t="shared" si="3"/>
        <v>108</v>
      </c>
      <c r="I21" s="20">
        <f t="shared" si="0"/>
        <v>127</v>
      </c>
      <c r="K21" s="21">
        <f t="shared" si="1"/>
        <v>-19</v>
      </c>
      <c r="L21" s="22"/>
      <c r="M21" s="24">
        <f t="shared" si="2"/>
        <v>-8.085106382978724E-2</v>
      </c>
    </row>
    <row r="22" spans="1:13" ht="13.8">
      <c r="A22" s="8" t="s">
        <v>78</v>
      </c>
      <c r="B22" s="8" t="s">
        <v>79</v>
      </c>
      <c r="C22" s="9">
        <v>176.39089999999999</v>
      </c>
      <c r="D22" s="9">
        <v>216.92529999999999</v>
      </c>
      <c r="E22" s="9">
        <v>69.701610000000002</v>
      </c>
      <c r="F22" s="9">
        <v>71.310869999999994</v>
      </c>
      <c r="H22" s="18">
        <f t="shared" si="3"/>
        <v>73</v>
      </c>
      <c r="I22" s="20">
        <f t="shared" si="0"/>
        <v>71</v>
      </c>
      <c r="K22" s="21">
        <f t="shared" si="1"/>
        <v>2</v>
      </c>
      <c r="L22" s="22"/>
      <c r="M22" s="24">
        <f t="shared" si="2"/>
        <v>1.3888888888888888E-2</v>
      </c>
    </row>
    <row r="23" spans="1:13" ht="13.8">
      <c r="A23" s="8" t="s">
        <v>80</v>
      </c>
      <c r="B23" s="8" t="s">
        <v>81</v>
      </c>
      <c r="C23" s="9">
        <v>62.045729999999999</v>
      </c>
      <c r="D23" s="9">
        <v>120.621</v>
      </c>
      <c r="E23" s="9">
        <v>70.38203</v>
      </c>
      <c r="F23" s="9">
        <v>72.240970000000004</v>
      </c>
      <c r="H23" s="18">
        <f t="shared" si="3"/>
        <v>59</v>
      </c>
      <c r="I23" s="20">
        <f t="shared" si="0"/>
        <v>76</v>
      </c>
      <c r="K23" s="21">
        <f t="shared" si="1"/>
        <v>-17</v>
      </c>
      <c r="L23" s="22"/>
      <c r="M23" s="24">
        <f t="shared" si="2"/>
        <v>-0.12592592592592591</v>
      </c>
    </row>
    <row r="24" spans="1:13" ht="13.8">
      <c r="A24" s="8" t="s">
        <v>82</v>
      </c>
      <c r="B24" s="8" t="s">
        <v>83</v>
      </c>
      <c r="C24" s="9">
        <v>53.985939999999999</v>
      </c>
      <c r="D24" s="9">
        <v>105.0827</v>
      </c>
      <c r="E24" s="9">
        <v>69.64573</v>
      </c>
      <c r="F24" s="9">
        <v>73.110799999999998</v>
      </c>
      <c r="H24" s="18">
        <f t="shared" si="3"/>
        <v>57</v>
      </c>
      <c r="I24" s="20">
        <f t="shared" si="0"/>
        <v>90</v>
      </c>
      <c r="K24" s="21">
        <f t="shared" si="1"/>
        <v>-33</v>
      </c>
      <c r="L24" s="22"/>
      <c r="M24" s="24">
        <f t="shared" si="2"/>
        <v>-0.22448979591836735</v>
      </c>
    </row>
    <row r="25" spans="1:13" ht="13.8">
      <c r="A25" s="8" t="s">
        <v>84</v>
      </c>
      <c r="B25" s="8" t="s">
        <v>85</v>
      </c>
      <c r="C25" s="9">
        <v>305.7475</v>
      </c>
      <c r="D25" s="9">
        <v>493.17070000000001</v>
      </c>
      <c r="E25" s="9">
        <v>74.223140000000001</v>
      </c>
      <c r="F25" s="9">
        <v>75.629320000000007</v>
      </c>
      <c r="H25" s="18">
        <f t="shared" si="3"/>
        <v>96</v>
      </c>
      <c r="I25" s="20">
        <f t="shared" si="0"/>
        <v>115</v>
      </c>
      <c r="K25" s="21">
        <f t="shared" si="1"/>
        <v>-19</v>
      </c>
      <c r="L25" s="22"/>
      <c r="M25" s="24">
        <f t="shared" si="2"/>
        <v>-9.004739336492891E-2</v>
      </c>
    </row>
    <row r="26" spans="1:13" ht="13.8">
      <c r="A26" s="8" t="s">
        <v>86</v>
      </c>
      <c r="B26" s="8" t="s">
        <v>87</v>
      </c>
      <c r="C26" s="9">
        <v>2995.712</v>
      </c>
      <c r="D26" s="9">
        <v>4861.53</v>
      </c>
      <c r="E26" s="9">
        <v>79.660849999999996</v>
      </c>
      <c r="F26" s="9">
        <v>81.258539999999996</v>
      </c>
      <c r="H26" s="18">
        <f t="shared" si="3"/>
        <v>146</v>
      </c>
      <c r="I26" s="20">
        <f t="shared" si="0"/>
        <v>151</v>
      </c>
      <c r="K26" s="21">
        <f t="shared" si="1"/>
        <v>-5</v>
      </c>
      <c r="L26" s="22"/>
      <c r="M26" s="24">
        <f t="shared" si="2"/>
        <v>-1.6835016835016835E-2</v>
      </c>
    </row>
    <row r="27" spans="1:13" ht="13.8">
      <c r="A27" s="8" t="s">
        <v>88</v>
      </c>
      <c r="B27" s="8" t="s">
        <v>89</v>
      </c>
      <c r="C27" s="9">
        <v>1538.078</v>
      </c>
      <c r="D27" s="9">
        <v>5252.7730000000001</v>
      </c>
      <c r="E27" s="9">
        <v>76.540729999999996</v>
      </c>
      <c r="F27" s="9">
        <v>79.141459999999995</v>
      </c>
      <c r="H27" s="18">
        <f t="shared" si="3"/>
        <v>151</v>
      </c>
      <c r="I27" s="20">
        <f t="shared" si="0"/>
        <v>132</v>
      </c>
      <c r="K27" s="21">
        <f t="shared" si="1"/>
        <v>19</v>
      </c>
      <c r="L27" s="22"/>
      <c r="M27" s="24">
        <f t="shared" si="2"/>
        <v>6.7137809187279157E-2</v>
      </c>
    </row>
    <row r="28" spans="1:13" ht="13.8">
      <c r="A28" s="8" t="s">
        <v>90</v>
      </c>
      <c r="B28" s="8" t="s">
        <v>91</v>
      </c>
      <c r="C28" s="9">
        <v>1766.673</v>
      </c>
      <c r="D28" s="9">
        <v>3771.4349999999999</v>
      </c>
      <c r="E28" s="9">
        <v>77.741460000000004</v>
      </c>
      <c r="F28" s="9">
        <v>79.599999999999994</v>
      </c>
      <c r="H28" s="18">
        <f t="shared" si="3"/>
        <v>140</v>
      </c>
      <c r="I28" s="20">
        <f t="shared" si="0"/>
        <v>136</v>
      </c>
      <c r="K28" s="21">
        <f t="shared" si="1"/>
        <v>4</v>
      </c>
      <c r="L28" s="22"/>
      <c r="M28" s="24">
        <f t="shared" si="2"/>
        <v>1.4492753623188406E-2</v>
      </c>
    </row>
    <row r="29" spans="1:13" ht="13.8">
      <c r="A29" s="8" t="s">
        <v>92</v>
      </c>
      <c r="B29" s="8" t="s">
        <v>93</v>
      </c>
      <c r="C29" s="9">
        <v>56.95129</v>
      </c>
      <c r="D29" s="9">
        <v>152.29859999999999</v>
      </c>
      <c r="E29" s="9">
        <v>69.448269999999994</v>
      </c>
      <c r="F29" s="9">
        <v>73.336200000000005</v>
      </c>
      <c r="H29" s="18">
        <f t="shared" si="3"/>
        <v>66</v>
      </c>
      <c r="I29" s="20">
        <f t="shared" si="0"/>
        <v>93</v>
      </c>
      <c r="K29" s="21">
        <f t="shared" si="1"/>
        <v>-27</v>
      </c>
      <c r="L29" s="22"/>
      <c r="M29" s="24">
        <f t="shared" si="2"/>
        <v>-0.16981132075471697</v>
      </c>
    </row>
    <row r="30" spans="1:13" ht="13.8">
      <c r="A30" s="8" t="s">
        <v>94</v>
      </c>
      <c r="B30" s="8" t="s">
        <v>95</v>
      </c>
      <c r="C30" s="9">
        <v>30.483630000000002</v>
      </c>
      <c r="D30" s="9">
        <v>60.795470000000002</v>
      </c>
      <c r="E30" s="9">
        <v>50.160879999999999</v>
      </c>
      <c r="F30" s="9">
        <v>53.37771</v>
      </c>
      <c r="H30" s="18">
        <f t="shared" si="3"/>
        <v>39</v>
      </c>
      <c r="I30" s="20">
        <f t="shared" si="0"/>
        <v>22</v>
      </c>
      <c r="K30" s="21">
        <f t="shared" si="1"/>
        <v>17</v>
      </c>
      <c r="L30" s="22"/>
      <c r="M30" s="24">
        <f t="shared" si="2"/>
        <v>0.27868852459016391</v>
      </c>
    </row>
    <row r="31" spans="1:13" ht="13.8">
      <c r="A31" s="8" t="s">
        <v>96</v>
      </c>
      <c r="B31" s="8" t="s">
        <v>97</v>
      </c>
      <c r="C31" s="9">
        <v>18.43608</v>
      </c>
      <c r="D31" s="9">
        <v>55.44659</v>
      </c>
      <c r="E31" s="9">
        <v>58.382240000000003</v>
      </c>
      <c r="F31" s="9">
        <v>62.873510000000003</v>
      </c>
      <c r="H31" s="18">
        <f t="shared" si="3"/>
        <v>37</v>
      </c>
      <c r="I31" s="20">
        <f t="shared" si="0"/>
        <v>42</v>
      </c>
      <c r="K31" s="21">
        <f t="shared" si="1"/>
        <v>-5</v>
      </c>
      <c r="L31" s="22"/>
      <c r="M31" s="24">
        <f t="shared" si="2"/>
        <v>-6.3291139240506333E-2</v>
      </c>
    </row>
    <row r="32" spans="1:13" ht="13.8">
      <c r="A32" s="8" t="s">
        <v>98</v>
      </c>
      <c r="B32" s="8" t="s">
        <v>99</v>
      </c>
      <c r="C32" s="9">
        <v>18.52966</v>
      </c>
      <c r="D32" s="9">
        <v>26.497959999999999</v>
      </c>
      <c r="E32" s="9">
        <v>45.964320000000001</v>
      </c>
      <c r="F32" s="9">
        <v>54.727629999999998</v>
      </c>
      <c r="H32" s="18">
        <f t="shared" si="3"/>
        <v>16</v>
      </c>
      <c r="I32" s="20">
        <f t="shared" si="0"/>
        <v>25</v>
      </c>
      <c r="K32" s="21">
        <f t="shared" si="1"/>
        <v>-9</v>
      </c>
      <c r="L32" s="22"/>
      <c r="M32" s="24">
        <f t="shared" si="2"/>
        <v>-0.21951219512195122</v>
      </c>
    </row>
    <row r="33" spans="1:13" ht="13.8">
      <c r="A33" s="8" t="s">
        <v>100</v>
      </c>
      <c r="B33" s="8" t="s">
        <v>101</v>
      </c>
      <c r="C33" s="9">
        <v>53.689369999999997</v>
      </c>
      <c r="D33" s="9">
        <v>149.4796</v>
      </c>
      <c r="E33" s="9">
        <v>68.675150000000002</v>
      </c>
      <c r="F33" s="9">
        <v>71.307749999999999</v>
      </c>
      <c r="H33" s="18">
        <f t="shared" si="3"/>
        <v>65</v>
      </c>
      <c r="I33" s="20">
        <f t="shared" si="0"/>
        <v>70</v>
      </c>
      <c r="K33" s="21">
        <f t="shared" si="1"/>
        <v>-5</v>
      </c>
      <c r="L33" s="22"/>
      <c r="M33" s="24">
        <f t="shared" si="2"/>
        <v>-3.7037037037037035E-2</v>
      </c>
    </row>
    <row r="34" spans="1:13" ht="13.8">
      <c r="A34" s="8" t="s">
        <v>102</v>
      </c>
      <c r="B34" s="8" t="s">
        <v>103</v>
      </c>
      <c r="C34" s="9">
        <v>967.37339999999995</v>
      </c>
      <c r="D34" s="9">
        <v>2433.855</v>
      </c>
      <c r="E34" s="9">
        <v>76.314639999999997</v>
      </c>
      <c r="F34" s="9">
        <v>78.524389999999997</v>
      </c>
      <c r="H34" s="18">
        <f t="shared" si="3"/>
        <v>133</v>
      </c>
      <c r="I34" s="20">
        <f t="shared" si="0"/>
        <v>126</v>
      </c>
      <c r="K34" s="21">
        <f t="shared" si="1"/>
        <v>7</v>
      </c>
      <c r="L34" s="22"/>
      <c r="M34" s="24">
        <f t="shared" si="2"/>
        <v>2.7027027027027029E-2</v>
      </c>
    </row>
    <row r="35" spans="1:13" ht="13.8">
      <c r="A35" s="8" t="s">
        <v>104</v>
      </c>
      <c r="B35" s="8" t="s">
        <v>105</v>
      </c>
      <c r="C35" s="9">
        <v>1030.0630000000001</v>
      </c>
      <c r="D35" s="9">
        <v>3132.3580000000002</v>
      </c>
      <c r="E35" s="9">
        <v>78.965850000000003</v>
      </c>
      <c r="F35" s="9">
        <v>81.175610000000006</v>
      </c>
      <c r="H35" s="18">
        <f t="shared" si="3"/>
        <v>136</v>
      </c>
      <c r="I35" s="20">
        <f t="shared" si="0"/>
        <v>150</v>
      </c>
      <c r="K35" s="21">
        <f t="shared" si="1"/>
        <v>-14</v>
      </c>
      <c r="L35" s="22"/>
      <c r="M35" s="24">
        <f t="shared" si="2"/>
        <v>-4.8951048951048952E-2</v>
      </c>
    </row>
    <row r="36" spans="1:13" ht="13.8">
      <c r="A36" s="8" t="s">
        <v>106</v>
      </c>
      <c r="B36" s="8" t="s">
        <v>107</v>
      </c>
      <c r="C36" s="9">
        <v>11.472770000000001</v>
      </c>
      <c r="D36" s="9">
        <v>37.187130000000003</v>
      </c>
      <c r="E36" s="9">
        <v>50.20129</v>
      </c>
      <c r="F36" s="9">
        <v>53.982489999999999</v>
      </c>
      <c r="H36" s="18">
        <f t="shared" si="3"/>
        <v>22</v>
      </c>
      <c r="I36" s="20">
        <f t="shared" si="0"/>
        <v>23</v>
      </c>
      <c r="K36" s="21">
        <f t="shared" si="1"/>
        <v>-1</v>
      </c>
      <c r="L36" s="22"/>
      <c r="M36" s="24">
        <f t="shared" si="2"/>
        <v>-2.2222222222222223E-2</v>
      </c>
    </row>
    <row r="37" spans="1:13" ht="13.8">
      <c r="A37" s="8" t="s">
        <v>108</v>
      </c>
      <c r="B37" s="8" t="s">
        <v>109</v>
      </c>
      <c r="C37" s="9">
        <v>19.493020000000001</v>
      </c>
      <c r="D37" s="9">
        <v>21.324339999999999</v>
      </c>
      <c r="E37" s="9">
        <v>48.110149999999997</v>
      </c>
      <c r="F37" s="9">
        <v>52.687240000000003</v>
      </c>
      <c r="H37" s="18">
        <f t="shared" si="3"/>
        <v>10</v>
      </c>
      <c r="I37" s="20">
        <f t="shared" si="0"/>
        <v>20</v>
      </c>
      <c r="K37" s="21">
        <f t="shared" si="1"/>
        <v>-10</v>
      </c>
      <c r="L37" s="22"/>
      <c r="M37" s="24">
        <f t="shared" si="2"/>
        <v>-0.33333333333333331</v>
      </c>
    </row>
    <row r="38" spans="1:13" ht="13.8">
      <c r="A38" s="8" t="s">
        <v>110</v>
      </c>
      <c r="B38" s="8" t="s">
        <v>111</v>
      </c>
      <c r="C38" s="9">
        <v>9.6451200000000004</v>
      </c>
      <c r="D38" s="9">
        <v>17.485050000000001</v>
      </c>
      <c r="E38" s="9">
        <v>44.884880000000003</v>
      </c>
      <c r="F38" s="9">
        <v>46.959269999999997</v>
      </c>
      <c r="H38" s="18">
        <f t="shared" si="3"/>
        <v>6</v>
      </c>
      <c r="I38" s="20">
        <f t="shared" si="0"/>
        <v>4</v>
      </c>
      <c r="K38" s="21">
        <f t="shared" si="1"/>
        <v>2</v>
      </c>
      <c r="L38" s="22"/>
      <c r="M38" s="24">
        <f t="shared" si="2"/>
        <v>0.2</v>
      </c>
    </row>
    <row r="39" spans="1:13" ht="13.8">
      <c r="A39" s="8" t="s">
        <v>112</v>
      </c>
      <c r="B39" s="8" t="s">
        <v>113</v>
      </c>
      <c r="C39" s="9">
        <v>15.87994</v>
      </c>
      <c r="D39" s="9">
        <v>38.73019</v>
      </c>
      <c r="E39" s="9">
        <v>47.243270000000003</v>
      </c>
      <c r="F39" s="9">
        <v>50.120190000000001</v>
      </c>
      <c r="H39" s="18">
        <f t="shared" si="3"/>
        <v>24</v>
      </c>
      <c r="I39" s="20">
        <f t="shared" si="0"/>
        <v>12</v>
      </c>
      <c r="K39" s="21">
        <f t="shared" si="1"/>
        <v>12</v>
      </c>
      <c r="L39" s="22"/>
      <c r="M39" s="24">
        <f t="shared" si="2"/>
        <v>0.33333333333333331</v>
      </c>
    </row>
    <row r="40" spans="1:13" ht="13.8">
      <c r="A40" s="8" t="s">
        <v>114</v>
      </c>
      <c r="B40" s="8" t="s">
        <v>115</v>
      </c>
      <c r="C40" s="9">
        <v>16.020099999999999</v>
      </c>
      <c r="D40" s="9">
        <v>27.155159999999999</v>
      </c>
      <c r="E40" s="9">
        <v>56.994779999999999</v>
      </c>
      <c r="F40" s="9">
        <v>57.668239999999997</v>
      </c>
      <c r="H40" s="18">
        <f t="shared" si="3"/>
        <v>18</v>
      </c>
      <c r="I40" s="20">
        <f t="shared" si="0"/>
        <v>33</v>
      </c>
      <c r="K40" s="21">
        <f t="shared" si="1"/>
        <v>-15</v>
      </c>
      <c r="L40" s="22"/>
      <c r="M40" s="24">
        <f t="shared" si="2"/>
        <v>-0.29411764705882354</v>
      </c>
    </row>
    <row r="41" spans="1:13" ht="13.8">
      <c r="A41" s="8" t="s">
        <v>116</v>
      </c>
      <c r="B41" s="8" t="s">
        <v>117</v>
      </c>
      <c r="C41" s="9">
        <v>20.466899999999999</v>
      </c>
      <c r="D41" s="9">
        <v>61.92859</v>
      </c>
      <c r="E41" s="9">
        <v>55.739240000000002</v>
      </c>
      <c r="F41" s="9">
        <v>58.309359999999998</v>
      </c>
      <c r="H41" s="18">
        <f t="shared" si="3"/>
        <v>40</v>
      </c>
      <c r="I41" s="20">
        <f t="shared" si="0"/>
        <v>34</v>
      </c>
      <c r="K41" s="21">
        <f t="shared" si="1"/>
        <v>6</v>
      </c>
      <c r="L41" s="22"/>
      <c r="M41" s="24">
        <f t="shared" si="2"/>
        <v>8.1081081081081086E-2</v>
      </c>
    </row>
    <row r="42" spans="1:13" ht="13.8">
      <c r="A42" s="8" t="s">
        <v>118</v>
      </c>
      <c r="B42" s="8" t="s">
        <v>119</v>
      </c>
      <c r="C42" s="9">
        <v>21.99156</v>
      </c>
      <c r="D42" s="9">
        <v>46.860680000000002</v>
      </c>
      <c r="E42" s="9">
        <v>39.731589999999997</v>
      </c>
      <c r="F42" s="9">
        <v>46.425269999999998</v>
      </c>
      <c r="H42" s="18">
        <f t="shared" si="3"/>
        <v>31</v>
      </c>
      <c r="I42" s="20">
        <f t="shared" si="0"/>
        <v>3</v>
      </c>
      <c r="K42" s="21">
        <f t="shared" si="1"/>
        <v>28</v>
      </c>
      <c r="L42" s="22"/>
      <c r="M42" s="24">
        <f t="shared" si="2"/>
        <v>0.82352941176470584</v>
      </c>
    </row>
    <row r="43" spans="1:13" ht="13.8">
      <c r="A43" s="8" t="s">
        <v>120</v>
      </c>
      <c r="B43" s="8" t="s">
        <v>121</v>
      </c>
      <c r="C43" s="9">
        <v>18.686589999999999</v>
      </c>
      <c r="D43" s="9">
        <v>27.094629999999999</v>
      </c>
      <c r="E43" s="9">
        <v>55.156759999999998</v>
      </c>
      <c r="F43" s="9">
        <v>57.524239999999999</v>
      </c>
      <c r="H43" s="18">
        <f t="shared" si="3"/>
        <v>17</v>
      </c>
      <c r="I43" s="20">
        <f t="shared" si="0"/>
        <v>32</v>
      </c>
      <c r="K43" s="21">
        <f t="shared" si="1"/>
        <v>-15</v>
      </c>
      <c r="L43" s="22"/>
      <c r="M43" s="24">
        <f t="shared" si="2"/>
        <v>-0.30612244897959184</v>
      </c>
    </row>
    <row r="44" spans="1:13" ht="13.8">
      <c r="A44" s="8" t="s">
        <v>122</v>
      </c>
      <c r="B44" s="8" t="s">
        <v>123</v>
      </c>
      <c r="C44" s="9">
        <v>43.880299999999998</v>
      </c>
      <c r="D44" s="9">
        <v>80.048199999999994</v>
      </c>
      <c r="E44" s="9">
        <v>53.850340000000003</v>
      </c>
      <c r="F44" s="9">
        <v>56.755099999999999</v>
      </c>
      <c r="H44" s="18">
        <f t="shared" si="3"/>
        <v>50</v>
      </c>
      <c r="I44" s="20">
        <f t="shared" si="0"/>
        <v>30</v>
      </c>
      <c r="K44" s="21">
        <f t="shared" si="1"/>
        <v>20</v>
      </c>
      <c r="L44" s="22"/>
      <c r="M44" s="24">
        <f t="shared" si="2"/>
        <v>0.25</v>
      </c>
    </row>
    <row r="45" spans="1:13" ht="13.8">
      <c r="A45" s="8" t="s">
        <v>124</v>
      </c>
      <c r="B45" s="8" t="s">
        <v>125</v>
      </c>
      <c r="C45" s="9">
        <v>9.1138919999999999</v>
      </c>
      <c r="D45" s="9">
        <v>9.6017430000000008</v>
      </c>
      <c r="E45" s="9">
        <v>56.024970000000003</v>
      </c>
      <c r="F45" s="9">
        <v>60.105269999999997</v>
      </c>
      <c r="H45" s="18">
        <f t="shared" si="3"/>
        <v>1</v>
      </c>
      <c r="I45" s="20">
        <f t="shared" si="0"/>
        <v>35</v>
      </c>
      <c r="K45" s="21">
        <f t="shared" si="1"/>
        <v>-34</v>
      </c>
      <c r="L45" s="22"/>
      <c r="M45" s="24">
        <f t="shared" si="2"/>
        <v>-0.94444444444444442</v>
      </c>
    </row>
    <row r="46" spans="1:13" ht="13.8">
      <c r="A46" s="8" t="s">
        <v>126</v>
      </c>
      <c r="B46" s="8" t="s">
        <v>127</v>
      </c>
      <c r="C46" s="9">
        <v>5.3228140000000002</v>
      </c>
      <c r="D46" s="9">
        <v>13.82316</v>
      </c>
      <c r="E46" s="9">
        <v>51.710120000000003</v>
      </c>
      <c r="F46" s="9">
        <v>57.450780000000002</v>
      </c>
      <c r="H46" s="18">
        <f t="shared" si="3"/>
        <v>4</v>
      </c>
      <c r="I46" s="20">
        <f t="shared" si="0"/>
        <v>31</v>
      </c>
      <c r="K46" s="21">
        <f t="shared" si="1"/>
        <v>-27</v>
      </c>
      <c r="L46" s="22"/>
      <c r="M46" s="24">
        <f t="shared" si="2"/>
        <v>-0.77142857142857146</v>
      </c>
    </row>
    <row r="47" spans="1:13" ht="13.8">
      <c r="A47" s="8" t="s">
        <v>128</v>
      </c>
      <c r="B47" s="8" t="s">
        <v>129</v>
      </c>
      <c r="C47" s="9">
        <v>22.338239999999999</v>
      </c>
      <c r="D47" s="9">
        <v>73.422809999999998</v>
      </c>
      <c r="E47" s="9">
        <v>63.121339999999996</v>
      </c>
      <c r="F47" s="9">
        <v>67.486239999999995</v>
      </c>
      <c r="H47" s="18">
        <f t="shared" si="3"/>
        <v>46</v>
      </c>
      <c r="I47" s="20">
        <f t="shared" si="0"/>
        <v>54</v>
      </c>
      <c r="K47" s="21">
        <f t="shared" si="1"/>
        <v>-8</v>
      </c>
      <c r="L47" s="22"/>
      <c r="M47" s="24">
        <f t="shared" si="2"/>
        <v>-0.08</v>
      </c>
    </row>
    <row r="48" spans="1:13" ht="13.8">
      <c r="A48" s="8" t="s">
        <v>130</v>
      </c>
      <c r="B48" s="8" t="s">
        <v>131</v>
      </c>
      <c r="C48" s="9">
        <v>11.931179999999999</v>
      </c>
      <c r="D48" s="9">
        <v>96.903649999999999</v>
      </c>
      <c r="E48" s="9">
        <v>56.9741</v>
      </c>
      <c r="F48" s="9">
        <v>60.477930000000001</v>
      </c>
      <c r="H48" s="18">
        <f t="shared" si="3"/>
        <v>54</v>
      </c>
      <c r="I48" s="20">
        <f t="shared" si="0"/>
        <v>36</v>
      </c>
      <c r="K48" s="21">
        <f t="shared" si="1"/>
        <v>18</v>
      </c>
      <c r="L48" s="22"/>
      <c r="M48" s="24">
        <f t="shared" si="2"/>
        <v>0.2</v>
      </c>
    </row>
    <row r="49" spans="1:13" ht="13.8">
      <c r="A49" s="8" t="s">
        <v>132</v>
      </c>
      <c r="B49" s="8" t="s">
        <v>133</v>
      </c>
      <c r="C49" s="9">
        <v>15.47443</v>
      </c>
      <c r="D49" s="9">
        <v>43.726430000000001</v>
      </c>
      <c r="E49" s="9">
        <v>46.091679999999997</v>
      </c>
      <c r="F49" s="9">
        <v>52.439979999999998</v>
      </c>
      <c r="H49" s="18">
        <f t="shared" si="3"/>
        <v>28</v>
      </c>
      <c r="I49" s="20">
        <f t="shared" si="0"/>
        <v>18</v>
      </c>
      <c r="K49" s="21">
        <f t="shared" si="1"/>
        <v>10</v>
      </c>
      <c r="L49" s="22"/>
      <c r="M49" s="24">
        <f t="shared" si="2"/>
        <v>0.21739130434782608</v>
      </c>
    </row>
    <row r="50" spans="1:13" ht="13.8">
      <c r="A50" s="8" t="s">
        <v>134</v>
      </c>
      <c r="B50" s="8" t="s">
        <v>135</v>
      </c>
      <c r="C50" s="9">
        <v>15.89785</v>
      </c>
      <c r="D50" s="9">
        <v>108.87260000000001</v>
      </c>
      <c r="E50" s="9">
        <v>70.743480000000005</v>
      </c>
      <c r="F50" s="9">
        <v>67.871120000000005</v>
      </c>
      <c r="H50" s="18">
        <f t="shared" si="3"/>
        <v>58</v>
      </c>
      <c r="I50" s="20">
        <f t="shared" si="0"/>
        <v>58</v>
      </c>
      <c r="K50" s="21">
        <f t="shared" si="1"/>
        <v>0</v>
      </c>
      <c r="L50" s="22"/>
      <c r="M50" s="24">
        <f t="shared" si="2"/>
        <v>0</v>
      </c>
    </row>
    <row r="51" spans="1:13" ht="13.8">
      <c r="A51" s="8" t="s">
        <v>136</v>
      </c>
      <c r="B51" s="8" t="s">
        <v>137</v>
      </c>
      <c r="C51" s="9">
        <v>1450.8679999999999</v>
      </c>
      <c r="D51" s="9">
        <v>2092.6729999999998</v>
      </c>
      <c r="E51" s="9">
        <v>78.953659999999999</v>
      </c>
      <c r="F51" s="9">
        <v>81.002440000000007</v>
      </c>
      <c r="H51" s="18">
        <f t="shared" si="3"/>
        <v>131</v>
      </c>
      <c r="I51" s="20">
        <f t="shared" si="0"/>
        <v>148</v>
      </c>
      <c r="K51" s="21">
        <f t="shared" si="1"/>
        <v>-17</v>
      </c>
      <c r="L51" s="22"/>
      <c r="M51" s="24">
        <f t="shared" si="2"/>
        <v>-6.093189964157706E-2</v>
      </c>
    </row>
    <row r="52" spans="1:13" ht="13.8">
      <c r="A52" s="8" t="s">
        <v>138</v>
      </c>
      <c r="B52" s="8" t="s">
        <v>139</v>
      </c>
      <c r="C52" s="9">
        <v>169.34479999999999</v>
      </c>
      <c r="D52" s="9">
        <v>325.12450000000001</v>
      </c>
      <c r="E52" s="9">
        <v>72.075029999999998</v>
      </c>
      <c r="F52" s="9">
        <v>73.016220000000004</v>
      </c>
      <c r="H52" s="18">
        <f t="shared" si="3"/>
        <v>85</v>
      </c>
      <c r="I52" s="20">
        <f t="shared" si="0"/>
        <v>89</v>
      </c>
      <c r="K52" s="21">
        <f t="shared" si="1"/>
        <v>-4</v>
      </c>
      <c r="L52" s="22"/>
      <c r="M52" s="24">
        <f t="shared" si="2"/>
        <v>-2.2988505747126436E-2</v>
      </c>
    </row>
    <row r="53" spans="1:13" ht="13.8">
      <c r="A53" s="8" t="s">
        <v>140</v>
      </c>
      <c r="B53" s="8" t="s">
        <v>141</v>
      </c>
      <c r="C53" s="9">
        <v>50.865969999999997</v>
      </c>
      <c r="D53" s="9">
        <v>332.71460000000002</v>
      </c>
      <c r="E53" s="9">
        <v>65.517070000000004</v>
      </c>
      <c r="F53" s="9">
        <v>67.021950000000004</v>
      </c>
      <c r="H53" s="18">
        <f t="shared" si="3"/>
        <v>87</v>
      </c>
      <c r="I53" s="20">
        <f t="shared" si="0"/>
        <v>53</v>
      </c>
      <c r="K53" s="21">
        <f t="shared" si="1"/>
        <v>34</v>
      </c>
      <c r="L53" s="22"/>
      <c r="M53" s="24">
        <f t="shared" si="2"/>
        <v>0.24285714285714285</v>
      </c>
    </row>
    <row r="54" spans="1:13" ht="13.8">
      <c r="A54" s="8" t="s">
        <v>142</v>
      </c>
      <c r="B54" s="8" t="s">
        <v>143</v>
      </c>
      <c r="C54" s="9">
        <v>3145.502</v>
      </c>
      <c r="D54" s="9">
        <v>8018.8639999999996</v>
      </c>
      <c r="E54" s="9">
        <v>78.634150000000005</v>
      </c>
      <c r="F54" s="9">
        <v>80.592680000000001</v>
      </c>
      <c r="H54" s="18">
        <f t="shared" si="3"/>
        <v>156</v>
      </c>
      <c r="I54" s="20">
        <f t="shared" si="0"/>
        <v>144</v>
      </c>
      <c r="K54" s="21">
        <f t="shared" si="1"/>
        <v>12</v>
      </c>
      <c r="L54" s="22"/>
      <c r="M54" s="24">
        <f t="shared" si="2"/>
        <v>0.04</v>
      </c>
    </row>
    <row r="55" spans="1:13" ht="13.8">
      <c r="A55" s="8" t="s">
        <v>144</v>
      </c>
      <c r="B55" s="8" t="s">
        <v>145</v>
      </c>
      <c r="C55" s="9">
        <v>96.007840000000002</v>
      </c>
      <c r="D55" s="9">
        <v>568.10329999999999</v>
      </c>
      <c r="E55" s="9">
        <v>65.341459999999998</v>
      </c>
      <c r="F55" s="9">
        <v>67.848780000000005</v>
      </c>
      <c r="H55" s="18">
        <f t="shared" si="3"/>
        <v>102</v>
      </c>
      <c r="I55" s="20">
        <f t="shared" si="0"/>
        <v>57</v>
      </c>
      <c r="K55" s="21">
        <f t="shared" si="1"/>
        <v>45</v>
      </c>
      <c r="L55" s="22"/>
      <c r="M55" s="24">
        <f t="shared" si="2"/>
        <v>0.28301886792452829</v>
      </c>
    </row>
    <row r="56" spans="1:13" ht="13.8">
      <c r="A56" s="8" t="s">
        <v>146</v>
      </c>
      <c r="B56" s="8" t="s">
        <v>147</v>
      </c>
      <c r="C56" s="9">
        <v>2277.415</v>
      </c>
      <c r="D56" s="9">
        <v>4857.7749999999996</v>
      </c>
      <c r="E56" s="9">
        <v>79.643910000000005</v>
      </c>
      <c r="F56" s="9">
        <v>81.099999999999994</v>
      </c>
      <c r="H56" s="18">
        <f t="shared" si="3"/>
        <v>145</v>
      </c>
      <c r="I56" s="20">
        <f t="shared" si="0"/>
        <v>149</v>
      </c>
      <c r="K56" s="21">
        <f t="shared" si="1"/>
        <v>-4</v>
      </c>
      <c r="L56" s="22"/>
      <c r="M56" s="24">
        <f t="shared" si="2"/>
        <v>-1.3605442176870748E-2</v>
      </c>
    </row>
    <row r="57" spans="1:13" ht="13.8">
      <c r="A57" s="8" t="s">
        <v>148</v>
      </c>
      <c r="B57" s="8" t="s">
        <v>149</v>
      </c>
      <c r="C57" s="9">
        <v>62.664549999999998</v>
      </c>
      <c r="D57" s="9">
        <v>271.70030000000003</v>
      </c>
      <c r="E57" s="9">
        <v>70.024169999999998</v>
      </c>
      <c r="F57" s="9">
        <v>72.389049999999997</v>
      </c>
      <c r="H57" s="18">
        <f t="shared" si="3"/>
        <v>82</v>
      </c>
      <c r="I57" s="20">
        <f t="shared" si="0"/>
        <v>78</v>
      </c>
      <c r="K57" s="21">
        <f t="shared" si="1"/>
        <v>4</v>
      </c>
      <c r="L57" s="22"/>
      <c r="M57" s="24">
        <f t="shared" si="2"/>
        <v>2.5000000000000001E-2</v>
      </c>
    </row>
    <row r="58" spans="1:13" ht="13.8">
      <c r="A58" s="8" t="s">
        <v>150</v>
      </c>
      <c r="B58" s="8" t="s">
        <v>151</v>
      </c>
      <c r="C58" s="9">
        <v>1289.154</v>
      </c>
      <c r="D58" s="9">
        <v>3330.7979999999998</v>
      </c>
      <c r="E58" s="9"/>
      <c r="F58" s="9"/>
      <c r="H58" s="18">
        <f t="shared" si="3"/>
        <v>138</v>
      </c>
      <c r="I58" s="20"/>
      <c r="K58" s="21">
        <f t="shared" si="1"/>
        <v>138</v>
      </c>
      <c r="L58" s="22"/>
      <c r="M58" s="24">
        <f t="shared" si="2"/>
        <v>1</v>
      </c>
    </row>
    <row r="59" spans="1:13" ht="13.8">
      <c r="A59" s="8" t="s">
        <v>152</v>
      </c>
      <c r="B59" s="8" t="s">
        <v>153</v>
      </c>
      <c r="C59" s="9">
        <v>26.728429999999999</v>
      </c>
      <c r="D59" s="9">
        <v>65.002350000000007</v>
      </c>
      <c r="E59" s="9">
        <v>50.071269999999998</v>
      </c>
      <c r="F59" s="9">
        <v>50.160899999999998</v>
      </c>
      <c r="H59" s="18">
        <f t="shared" si="3"/>
        <v>41</v>
      </c>
      <c r="I59" s="20">
        <f>RANK(F59,F$2:$F$157,1)</f>
        <v>13</v>
      </c>
      <c r="K59" s="21">
        <f t="shared" si="1"/>
        <v>28</v>
      </c>
      <c r="L59" s="22"/>
      <c r="M59" s="24">
        <f t="shared" si="2"/>
        <v>0.51851851851851849</v>
      </c>
    </row>
    <row r="60" spans="1:13" ht="13.8">
      <c r="A60" s="8" t="s">
        <v>154</v>
      </c>
      <c r="B60" s="8" t="s">
        <v>155</v>
      </c>
      <c r="C60" s="9">
        <v>9.8523239999999994</v>
      </c>
      <c r="D60" s="9">
        <v>19.837720000000001</v>
      </c>
      <c r="E60" s="9">
        <v>43.663359999999997</v>
      </c>
      <c r="F60" s="9">
        <v>46.163240000000002</v>
      </c>
      <c r="H60" s="18">
        <f t="shared" si="3"/>
        <v>8</v>
      </c>
      <c r="I60" s="20">
        <f>RANK(F60,F$2:$F$157,1)</f>
        <v>2</v>
      </c>
      <c r="K60" s="21">
        <f t="shared" si="1"/>
        <v>6</v>
      </c>
      <c r="L60" s="22"/>
      <c r="M60" s="24">
        <f t="shared" si="2"/>
        <v>0.6</v>
      </c>
    </row>
    <row r="61" spans="1:13" ht="13.8">
      <c r="A61" s="8" t="s">
        <v>156</v>
      </c>
      <c r="B61" s="8" t="s">
        <v>157</v>
      </c>
      <c r="C61" s="9">
        <v>211.69059999999999</v>
      </c>
      <c r="D61" s="9">
        <v>458.02710000000002</v>
      </c>
      <c r="E61" s="9">
        <v>72.530749999999998</v>
      </c>
      <c r="F61" s="9">
        <v>74.328999999999994</v>
      </c>
      <c r="H61" s="18">
        <f t="shared" si="3"/>
        <v>92</v>
      </c>
      <c r="I61" s="20">
        <f>RANK(F61,F$2:$F$157,1)</f>
        <v>104</v>
      </c>
      <c r="K61" s="21">
        <f t="shared" si="1"/>
        <v>-12</v>
      </c>
      <c r="L61" s="22"/>
      <c r="M61" s="24">
        <f t="shared" si="2"/>
        <v>-6.1224489795918366E-2</v>
      </c>
    </row>
    <row r="62" spans="1:13" ht="13.8">
      <c r="A62" s="8" t="s">
        <v>158</v>
      </c>
      <c r="B62" s="8" t="s">
        <v>159</v>
      </c>
      <c r="C62" s="9">
        <v>122.4796</v>
      </c>
      <c r="D62" s="9">
        <v>248.07929999999999</v>
      </c>
      <c r="E62" s="9">
        <v>72.599999999999994</v>
      </c>
      <c r="F62" s="9">
        <v>74.302440000000004</v>
      </c>
      <c r="H62" s="18">
        <f t="shared" si="3"/>
        <v>75</v>
      </c>
      <c r="I62" s="20">
        <f>RANK(F62,F$2:$F$157,1)</f>
        <v>103</v>
      </c>
      <c r="K62" s="21">
        <f t="shared" si="1"/>
        <v>-28</v>
      </c>
      <c r="L62" s="22"/>
      <c r="M62" s="24">
        <f t="shared" si="2"/>
        <v>-0.15730337078651685</v>
      </c>
    </row>
    <row r="63" spans="1:13" ht="13.8">
      <c r="A63" s="8" t="s">
        <v>160</v>
      </c>
      <c r="B63" s="8" t="s">
        <v>161</v>
      </c>
      <c r="C63" s="9">
        <v>15.26689</v>
      </c>
      <c r="D63" s="9">
        <v>32.136890000000001</v>
      </c>
      <c r="E63" s="9">
        <v>52.565339999999999</v>
      </c>
      <c r="F63" s="9">
        <v>54.787320000000001</v>
      </c>
      <c r="H63" s="18">
        <f t="shared" si="3"/>
        <v>19</v>
      </c>
      <c r="I63" s="20">
        <f>RANK(F63,F$2:$F$157,1)</f>
        <v>26</v>
      </c>
      <c r="K63" s="21">
        <f t="shared" si="1"/>
        <v>-7</v>
      </c>
      <c r="L63" s="22"/>
      <c r="M63" s="24">
        <f t="shared" si="2"/>
        <v>-0.15555555555555556</v>
      </c>
    </row>
    <row r="64" spans="1:13" ht="13.8">
      <c r="A64" s="8" t="s">
        <v>162</v>
      </c>
      <c r="B64" s="8" t="s">
        <v>163</v>
      </c>
      <c r="C64" s="9">
        <v>10.34735</v>
      </c>
      <c r="D64" s="9">
        <v>49.131999999999998</v>
      </c>
      <c r="E64" s="9">
        <v>48.488979999999998</v>
      </c>
      <c r="F64" s="9">
        <v>48.60575</v>
      </c>
      <c r="H64" s="18">
        <f t="shared" si="3"/>
        <v>33</v>
      </c>
      <c r="I64" s="20">
        <f>RANK(F64,F$2:$F$157,1)</f>
        <v>9</v>
      </c>
      <c r="K64" s="21">
        <f t="shared" si="1"/>
        <v>24</v>
      </c>
      <c r="L64" s="22"/>
      <c r="M64" s="24">
        <f t="shared" si="2"/>
        <v>0.5714285714285714</v>
      </c>
    </row>
    <row r="65" spans="1:13" ht="13.8">
      <c r="A65" s="8" t="s">
        <v>164</v>
      </c>
      <c r="B65" s="8" t="s">
        <v>165</v>
      </c>
      <c r="C65" s="9">
        <v>42.405270000000002</v>
      </c>
      <c r="D65" s="9">
        <v>544.95830000000001</v>
      </c>
      <c r="E65" s="9">
        <v>48.690269999999998</v>
      </c>
      <c r="F65" s="9">
        <v>50.247219999999999</v>
      </c>
      <c r="H65" s="18">
        <f t="shared" si="3"/>
        <v>101</v>
      </c>
      <c r="I65" s="20">
        <f>RANK(F65,F$2:$F$157,1)</f>
        <v>14</v>
      </c>
      <c r="K65" s="21">
        <f t="shared" si="1"/>
        <v>87</v>
      </c>
      <c r="L65" s="22"/>
      <c r="M65" s="24">
        <f t="shared" si="2"/>
        <v>0.75652173913043474</v>
      </c>
    </row>
    <row r="66" spans="1:13" ht="13.8">
      <c r="A66" s="8" t="s">
        <v>166</v>
      </c>
      <c r="B66" s="8" t="s">
        <v>167</v>
      </c>
      <c r="C66" s="9">
        <v>5.4871840000000001</v>
      </c>
      <c r="D66" s="9">
        <v>21.38072</v>
      </c>
      <c r="E66" s="9">
        <v>48.266680000000001</v>
      </c>
      <c r="F66" s="9">
        <v>53.334490000000002</v>
      </c>
      <c r="H66" s="18">
        <f t="shared" si="3"/>
        <v>11</v>
      </c>
      <c r="I66" s="20">
        <f>RANK(F66,F$2:$F$157,1)</f>
        <v>21</v>
      </c>
      <c r="K66" s="21">
        <f t="shared" si="1"/>
        <v>-10</v>
      </c>
      <c r="L66" s="22"/>
      <c r="M66" s="24">
        <f t="shared" si="2"/>
        <v>-0.3125</v>
      </c>
    </row>
    <row r="67" spans="1:13" ht="13.8">
      <c r="A67" s="8" t="s">
        <v>168</v>
      </c>
      <c r="B67" s="8" t="s">
        <v>169</v>
      </c>
      <c r="C67" s="9">
        <v>16.950859999999999</v>
      </c>
      <c r="D67" s="9">
        <v>73.43777</v>
      </c>
      <c r="E67" s="9">
        <v>46.272320000000001</v>
      </c>
      <c r="F67" s="9">
        <v>50.479730000000004</v>
      </c>
      <c r="H67" s="18">
        <f t="shared" ref="H67:H130" si="4">RANK(D67,D$2:D$157,1)</f>
        <v>47</v>
      </c>
      <c r="I67" s="20">
        <f>RANK(F67,F$2:$F$157,1)</f>
        <v>15</v>
      </c>
      <c r="K67" s="21">
        <f t="shared" ref="K67:K130" si="5">H67-I67</f>
        <v>32</v>
      </c>
      <c r="L67" s="22"/>
      <c r="M67" s="24">
        <f t="shared" ref="M67:M130" si="6">K67/(H67+I67)</f>
        <v>0.5161290322580645</v>
      </c>
    </row>
    <row r="68" spans="1:13" ht="13.8">
      <c r="A68" s="8" t="s">
        <v>170</v>
      </c>
      <c r="B68" s="8" t="s">
        <v>171</v>
      </c>
      <c r="C68" s="9">
        <v>105.63979999999999</v>
      </c>
      <c r="D68" s="9">
        <v>505.745</v>
      </c>
      <c r="E68" s="9">
        <v>74.308120000000002</v>
      </c>
      <c r="F68" s="9">
        <v>75.106319999999997</v>
      </c>
      <c r="H68" s="18">
        <f t="shared" si="4"/>
        <v>98</v>
      </c>
      <c r="I68" s="20">
        <f>RANK(F68,F$2:$F$157,1)</f>
        <v>110</v>
      </c>
      <c r="K68" s="21">
        <f t="shared" si="5"/>
        <v>-12</v>
      </c>
      <c r="L68" s="22"/>
      <c r="M68" s="24">
        <f t="shared" si="6"/>
        <v>-5.7692307692307696E-2</v>
      </c>
    </row>
    <row r="69" spans="1:13" ht="13.8">
      <c r="A69" s="8" t="s">
        <v>172</v>
      </c>
      <c r="B69" s="8" t="s">
        <v>173</v>
      </c>
      <c r="C69" s="9">
        <v>375.3965</v>
      </c>
      <c r="D69" s="9">
        <v>1229.7539999999999</v>
      </c>
      <c r="E69" s="9">
        <v>72.807810000000003</v>
      </c>
      <c r="F69" s="9">
        <v>75.912189999999995</v>
      </c>
      <c r="H69" s="18">
        <f t="shared" si="4"/>
        <v>122</v>
      </c>
      <c r="I69" s="20">
        <f>RANK(F69,F$2:$F$157,1)</f>
        <v>117</v>
      </c>
      <c r="K69" s="21">
        <f t="shared" si="5"/>
        <v>5</v>
      </c>
      <c r="L69" s="22"/>
      <c r="M69" s="24">
        <f t="shared" si="6"/>
        <v>2.0920502092050208E-2</v>
      </c>
    </row>
    <row r="70" spans="1:13" ht="13.8">
      <c r="A70" s="8" t="s">
        <v>174</v>
      </c>
      <c r="B70" s="8" t="s">
        <v>175</v>
      </c>
      <c r="C70" s="9">
        <v>1546.8579999999999</v>
      </c>
      <c r="D70" s="9">
        <v>3342.8629999999998</v>
      </c>
      <c r="E70" s="9">
        <v>79.426829999999995</v>
      </c>
      <c r="F70" s="9">
        <v>81.385369999999995</v>
      </c>
      <c r="H70" s="18">
        <f t="shared" si="4"/>
        <v>139</v>
      </c>
      <c r="I70" s="20">
        <f>RANK(F70,F$2:$F$157,1)</f>
        <v>152</v>
      </c>
      <c r="K70" s="21">
        <f t="shared" si="5"/>
        <v>-13</v>
      </c>
      <c r="L70" s="22"/>
      <c r="M70" s="24">
        <f t="shared" si="6"/>
        <v>-4.4673539518900345E-2</v>
      </c>
    </row>
    <row r="71" spans="1:13" ht="13.8">
      <c r="A71" s="8" t="s">
        <v>176</v>
      </c>
      <c r="B71" s="8" t="s">
        <v>177</v>
      </c>
      <c r="C71" s="9">
        <v>159.18899999999999</v>
      </c>
      <c r="D71" s="9">
        <v>328.42959999999999</v>
      </c>
      <c r="E71" s="9">
        <v>72.910219999999995</v>
      </c>
      <c r="F71" s="9">
        <v>74.267120000000006</v>
      </c>
      <c r="H71" s="18">
        <f t="shared" si="4"/>
        <v>86</v>
      </c>
      <c r="I71" s="20">
        <f>RANK(F71,F$2:$F$157,1)</f>
        <v>102</v>
      </c>
      <c r="K71" s="21">
        <f t="shared" si="5"/>
        <v>-16</v>
      </c>
      <c r="L71" s="22"/>
      <c r="M71" s="24">
        <f t="shared" si="6"/>
        <v>-8.5106382978723402E-2</v>
      </c>
    </row>
    <row r="72" spans="1:13" ht="13.8">
      <c r="A72" s="8" t="s">
        <v>178</v>
      </c>
      <c r="B72" s="8" t="s">
        <v>179</v>
      </c>
      <c r="C72" s="9">
        <v>640.43060000000003</v>
      </c>
      <c r="D72" s="9">
        <v>1373.5060000000001</v>
      </c>
      <c r="E72" s="9">
        <v>78.2</v>
      </c>
      <c r="F72" s="9">
        <v>79.431709999999995</v>
      </c>
      <c r="H72" s="18">
        <f t="shared" si="4"/>
        <v>124</v>
      </c>
      <c r="I72" s="20">
        <f>RANK(F72,F$2:$F$157,1)</f>
        <v>133</v>
      </c>
      <c r="K72" s="21">
        <f t="shared" si="5"/>
        <v>-9</v>
      </c>
      <c r="L72" s="22"/>
      <c r="M72" s="24">
        <f t="shared" si="6"/>
        <v>-3.5019455252918288E-2</v>
      </c>
    </row>
    <row r="73" spans="1:13" ht="13.8">
      <c r="A73" s="8" t="s">
        <v>180</v>
      </c>
      <c r="B73" s="8" t="s">
        <v>181</v>
      </c>
      <c r="C73" s="9">
        <v>94.98339</v>
      </c>
      <c r="D73" s="9">
        <v>481.53309999999999</v>
      </c>
      <c r="E73" s="9">
        <v>71.663409999999999</v>
      </c>
      <c r="F73" s="9">
        <v>72.963419999999999</v>
      </c>
      <c r="H73" s="18">
        <f t="shared" si="4"/>
        <v>95</v>
      </c>
      <c r="I73" s="20">
        <f>RANK(F73,F$2:$F$157,1)</f>
        <v>85</v>
      </c>
      <c r="K73" s="21">
        <f t="shared" si="5"/>
        <v>10</v>
      </c>
      <c r="L73" s="22"/>
      <c r="M73" s="24">
        <f t="shared" si="6"/>
        <v>5.5555555555555552E-2</v>
      </c>
    </row>
    <row r="74" spans="1:13" ht="13.8">
      <c r="A74" s="8" t="s">
        <v>182</v>
      </c>
      <c r="B74" s="8" t="s">
        <v>183</v>
      </c>
      <c r="C74" s="9">
        <v>740.21010000000001</v>
      </c>
      <c r="D74" s="9">
        <v>1908.6669999999999</v>
      </c>
      <c r="E74" s="9">
        <v>77.956919999999997</v>
      </c>
      <c r="F74" s="9">
        <v>79.021460000000005</v>
      </c>
      <c r="H74" s="18">
        <f t="shared" si="4"/>
        <v>130</v>
      </c>
      <c r="I74" s="20">
        <f>RANK(F74,F$2:$F$157,1)</f>
        <v>131</v>
      </c>
      <c r="K74" s="21">
        <f t="shared" si="5"/>
        <v>-1</v>
      </c>
      <c r="L74" s="22"/>
      <c r="M74" s="24">
        <f t="shared" si="6"/>
        <v>-3.8314176245210726E-3</v>
      </c>
    </row>
    <row r="75" spans="1:13" ht="13.8">
      <c r="A75" s="8" t="s">
        <v>184</v>
      </c>
      <c r="B75" s="8" t="s">
        <v>185</v>
      </c>
      <c r="C75" s="9">
        <v>75.783959999999993</v>
      </c>
      <c r="D75" s="9">
        <v>97.263850000000005</v>
      </c>
      <c r="E75" s="9">
        <v>69.082660000000004</v>
      </c>
      <c r="F75" s="9">
        <v>72.475440000000006</v>
      </c>
      <c r="H75" s="18">
        <f t="shared" si="4"/>
        <v>55</v>
      </c>
      <c r="I75" s="20">
        <f>RANK(F75,F$2:$F$157,1)</f>
        <v>81</v>
      </c>
      <c r="K75" s="21">
        <f t="shared" si="5"/>
        <v>-26</v>
      </c>
      <c r="L75" s="22"/>
      <c r="M75" s="24">
        <f t="shared" si="6"/>
        <v>-0.19117647058823528</v>
      </c>
    </row>
    <row r="76" spans="1:13" ht="13.8">
      <c r="A76" s="8" t="s">
        <v>186</v>
      </c>
      <c r="B76" s="8" t="s">
        <v>187</v>
      </c>
      <c r="C76" s="9">
        <v>45.018569999999997</v>
      </c>
      <c r="D76" s="9">
        <v>257.99689999999998</v>
      </c>
      <c r="E76" s="9">
        <v>71.563100000000006</v>
      </c>
      <c r="F76" s="9">
        <v>72.984629999999996</v>
      </c>
      <c r="H76" s="18">
        <f t="shared" si="4"/>
        <v>78</v>
      </c>
      <c r="I76" s="20">
        <f>RANK(F76,F$2:$F$157,1)</f>
        <v>87</v>
      </c>
      <c r="K76" s="21">
        <f t="shared" si="5"/>
        <v>-9</v>
      </c>
      <c r="L76" s="22"/>
      <c r="M76" s="24">
        <f t="shared" si="6"/>
        <v>-5.4545454545454543E-2</v>
      </c>
    </row>
    <row r="77" spans="1:13" ht="13.8">
      <c r="A77" s="8" t="s">
        <v>188</v>
      </c>
      <c r="B77" s="8" t="s">
        <v>189</v>
      </c>
      <c r="C77" s="9">
        <v>918.06100000000004</v>
      </c>
      <c r="D77" s="9">
        <v>3109.99</v>
      </c>
      <c r="E77" s="9">
        <v>77.887799999999999</v>
      </c>
      <c r="F77" s="9">
        <v>79.939030000000002</v>
      </c>
      <c r="H77" s="18">
        <f t="shared" si="4"/>
        <v>135</v>
      </c>
      <c r="I77" s="20">
        <f>RANK(F77,F$2:$F$157,1)</f>
        <v>139</v>
      </c>
      <c r="K77" s="21">
        <f t="shared" si="5"/>
        <v>-4</v>
      </c>
      <c r="L77" s="22"/>
      <c r="M77" s="24">
        <f t="shared" si="6"/>
        <v>-1.4598540145985401E-2</v>
      </c>
    </row>
    <row r="78" spans="1:13" ht="13.8">
      <c r="A78" s="8" t="s">
        <v>190</v>
      </c>
      <c r="B78" s="8" t="s">
        <v>191</v>
      </c>
      <c r="C78" s="9">
        <v>487.85559999999998</v>
      </c>
      <c r="D78" s="9">
        <v>604.38710000000003</v>
      </c>
      <c r="E78" s="9">
        <v>70.637020000000007</v>
      </c>
      <c r="F78" s="9">
        <v>72.047319999999999</v>
      </c>
      <c r="H78" s="18">
        <f t="shared" si="4"/>
        <v>105</v>
      </c>
      <c r="I78" s="20">
        <f>RANK(F78,F$2:$F$157,1)</f>
        <v>74</v>
      </c>
      <c r="K78" s="21">
        <f t="shared" si="5"/>
        <v>31</v>
      </c>
      <c r="L78" s="22"/>
      <c r="M78" s="24">
        <f t="shared" si="6"/>
        <v>0.17318435754189945</v>
      </c>
    </row>
    <row r="79" spans="1:13" ht="13.8">
      <c r="A79" s="8" t="s">
        <v>192</v>
      </c>
      <c r="B79" s="8" t="s">
        <v>193</v>
      </c>
      <c r="C79" s="9">
        <v>57.344589999999997</v>
      </c>
      <c r="D79" s="9">
        <v>70.856250000000003</v>
      </c>
      <c r="E79" s="9">
        <v>74.018879999999996</v>
      </c>
      <c r="F79" s="9">
        <v>75.412610000000001</v>
      </c>
      <c r="H79" s="18">
        <f t="shared" si="4"/>
        <v>45</v>
      </c>
      <c r="I79" s="20">
        <f>RANK(F79,F$2:$F$157,1)</f>
        <v>113</v>
      </c>
      <c r="K79" s="21">
        <f t="shared" si="5"/>
        <v>-68</v>
      </c>
      <c r="L79" s="22"/>
      <c r="M79" s="24">
        <f t="shared" si="6"/>
        <v>-0.43037974683544306</v>
      </c>
    </row>
    <row r="80" spans="1:13" ht="13.8">
      <c r="A80" s="8" t="s">
        <v>194</v>
      </c>
      <c r="B80" s="8" t="s">
        <v>195</v>
      </c>
      <c r="C80" s="9">
        <v>204.4855</v>
      </c>
      <c r="D80" s="9">
        <v>623.27610000000004</v>
      </c>
      <c r="E80" s="9">
        <v>69.446879999999993</v>
      </c>
      <c r="F80" s="9">
        <v>73.129630000000006</v>
      </c>
      <c r="H80" s="18">
        <f t="shared" si="4"/>
        <v>107</v>
      </c>
      <c r="I80" s="20">
        <f>RANK(F80,F$2:$F$157,1)</f>
        <v>91</v>
      </c>
      <c r="K80" s="21">
        <f t="shared" si="5"/>
        <v>16</v>
      </c>
      <c r="L80" s="22"/>
      <c r="M80" s="24">
        <f t="shared" si="6"/>
        <v>8.0808080808080815E-2</v>
      </c>
    </row>
    <row r="81" spans="1:13" ht="13.8">
      <c r="A81" s="8" t="s">
        <v>196</v>
      </c>
      <c r="B81" s="8" t="s">
        <v>197</v>
      </c>
      <c r="C81" s="9">
        <v>2361.02</v>
      </c>
      <c r="D81" s="9">
        <v>5200.884</v>
      </c>
      <c r="E81" s="9">
        <v>78.026830000000004</v>
      </c>
      <c r="F81" s="9">
        <v>80.23415</v>
      </c>
      <c r="H81" s="18">
        <f t="shared" si="4"/>
        <v>148</v>
      </c>
      <c r="I81" s="20">
        <f>RANK(F81,F$2:$F$157,1)</f>
        <v>141</v>
      </c>
      <c r="K81" s="21">
        <f t="shared" si="5"/>
        <v>7</v>
      </c>
      <c r="L81" s="22"/>
      <c r="M81" s="24">
        <f t="shared" si="6"/>
        <v>2.4221453287197232E-2</v>
      </c>
    </row>
    <row r="82" spans="1:13" ht="13.8">
      <c r="A82" s="8" t="s">
        <v>198</v>
      </c>
      <c r="B82" s="8" t="s">
        <v>199</v>
      </c>
      <c r="C82" s="9">
        <v>361.61259999999999</v>
      </c>
      <c r="D82" s="9">
        <v>1468.646</v>
      </c>
      <c r="E82" s="9">
        <v>74.968289999999996</v>
      </c>
      <c r="F82" s="9">
        <v>76.975610000000003</v>
      </c>
      <c r="H82" s="18">
        <f t="shared" si="4"/>
        <v>128</v>
      </c>
      <c r="I82" s="20">
        <f>RANK(F82,F$2:$F$157,1)</f>
        <v>121</v>
      </c>
      <c r="K82" s="21">
        <f t="shared" si="5"/>
        <v>7</v>
      </c>
      <c r="L82" s="22"/>
      <c r="M82" s="24">
        <f t="shared" si="6"/>
        <v>2.8112449799196786E-2</v>
      </c>
    </row>
    <row r="83" spans="1:13" ht="13.8">
      <c r="A83" s="8" t="s">
        <v>200</v>
      </c>
      <c r="B83" s="8" t="s">
        <v>201</v>
      </c>
      <c r="C83" s="9">
        <v>2474.1080000000002</v>
      </c>
      <c r="D83" s="9">
        <v>6133.3620000000001</v>
      </c>
      <c r="E83" s="9">
        <v>76.592680000000001</v>
      </c>
      <c r="F83" s="9">
        <v>78.446340000000006</v>
      </c>
      <c r="H83" s="18">
        <f t="shared" si="4"/>
        <v>152</v>
      </c>
      <c r="I83" s="20">
        <f>RANK(F83,F$2:$F$157,1)</f>
        <v>125</v>
      </c>
      <c r="K83" s="21">
        <f t="shared" si="5"/>
        <v>27</v>
      </c>
      <c r="L83" s="22"/>
      <c r="M83" s="24">
        <f t="shared" si="6"/>
        <v>9.7472924187725629E-2</v>
      </c>
    </row>
    <row r="84" spans="1:13" ht="13.8">
      <c r="A84" s="8" t="s">
        <v>202</v>
      </c>
      <c r="B84" s="8" t="s">
        <v>203</v>
      </c>
      <c r="C84" s="9">
        <v>326.36709999999999</v>
      </c>
      <c r="D84" s="9">
        <v>1119.1189999999999</v>
      </c>
      <c r="E84" s="9">
        <v>71.246340000000004</v>
      </c>
      <c r="F84" s="9">
        <v>73.702439999999996</v>
      </c>
      <c r="H84" s="18">
        <f t="shared" si="4"/>
        <v>121</v>
      </c>
      <c r="I84" s="20">
        <f>RANK(F84,F$2:$F$157,1)</f>
        <v>99</v>
      </c>
      <c r="K84" s="21">
        <f t="shared" si="5"/>
        <v>22</v>
      </c>
      <c r="L84" s="22"/>
      <c r="M84" s="24">
        <f t="shared" si="6"/>
        <v>0.1</v>
      </c>
    </row>
    <row r="85" spans="1:13" ht="13.8">
      <c r="A85" s="8" t="s">
        <v>204</v>
      </c>
      <c r="B85" s="8" t="s">
        <v>205</v>
      </c>
      <c r="C85" s="9">
        <v>246.97620000000001</v>
      </c>
      <c r="D85" s="9">
        <v>971.30809999999997</v>
      </c>
      <c r="E85" s="9">
        <v>73.748779999999996</v>
      </c>
      <c r="F85" s="9">
        <v>75.543899999999994</v>
      </c>
      <c r="H85" s="18">
        <f t="shared" si="4"/>
        <v>116</v>
      </c>
      <c r="I85" s="20">
        <f>RANK(F85,F$2:$F$157,1)</f>
        <v>114</v>
      </c>
      <c r="K85" s="21">
        <f t="shared" si="5"/>
        <v>2</v>
      </c>
      <c r="L85" s="22"/>
      <c r="M85" s="24">
        <f t="shared" si="6"/>
        <v>8.6956521739130436E-3</v>
      </c>
    </row>
    <row r="86" spans="1:13" ht="13.8">
      <c r="A86" s="8" t="s">
        <v>206</v>
      </c>
      <c r="B86" s="8" t="s">
        <v>207</v>
      </c>
      <c r="C86" s="9">
        <v>248.80260000000001</v>
      </c>
      <c r="D86" s="9">
        <v>1395.194</v>
      </c>
      <c r="E86" s="9">
        <v>73.051220000000001</v>
      </c>
      <c r="F86" s="9">
        <v>74.704880000000003</v>
      </c>
      <c r="H86" s="18">
        <f t="shared" si="4"/>
        <v>125</v>
      </c>
      <c r="I86" s="20">
        <f>RANK(F86,F$2:$F$157,1)</f>
        <v>108</v>
      </c>
      <c r="K86" s="21">
        <f t="shared" si="5"/>
        <v>17</v>
      </c>
      <c r="L86" s="22"/>
      <c r="M86" s="24">
        <f t="shared" si="6"/>
        <v>7.2961373390557943E-2</v>
      </c>
    </row>
    <row r="87" spans="1:13" ht="13.8">
      <c r="A87" s="8" t="s">
        <v>208</v>
      </c>
      <c r="B87" s="8" t="s">
        <v>209</v>
      </c>
      <c r="C87" s="9">
        <v>829.37670000000003</v>
      </c>
      <c r="D87" s="9">
        <v>2238.078</v>
      </c>
      <c r="E87" s="9">
        <v>75.412189999999995</v>
      </c>
      <c r="F87" s="9">
        <v>78.76585</v>
      </c>
      <c r="H87" s="18">
        <f t="shared" si="4"/>
        <v>132</v>
      </c>
      <c r="I87" s="20">
        <f>RANK(F87,F$2:$F$157,1)</f>
        <v>129</v>
      </c>
      <c r="K87" s="21">
        <f t="shared" si="5"/>
        <v>3</v>
      </c>
      <c r="L87" s="22"/>
      <c r="M87" s="24">
        <f t="shared" si="6"/>
        <v>1.1494252873563218E-2</v>
      </c>
    </row>
    <row r="88" spans="1:13" ht="13.8">
      <c r="A88" s="8" t="s">
        <v>210</v>
      </c>
      <c r="B88" s="8" t="s">
        <v>211</v>
      </c>
      <c r="C88" s="9">
        <v>2025.2750000000001</v>
      </c>
      <c r="D88" s="9">
        <v>5242.5870000000004</v>
      </c>
      <c r="E88" s="9">
        <v>78.173169999999999</v>
      </c>
      <c r="F88" s="9">
        <v>79.482929999999996</v>
      </c>
      <c r="H88" s="18">
        <f t="shared" si="4"/>
        <v>149</v>
      </c>
      <c r="I88" s="20">
        <f>RANK(F88,F$2:$F$157,1)</f>
        <v>134</v>
      </c>
      <c r="K88" s="21">
        <f t="shared" si="5"/>
        <v>15</v>
      </c>
      <c r="L88" s="22"/>
      <c r="M88" s="24">
        <f t="shared" si="6"/>
        <v>5.3003533568904596E-2</v>
      </c>
    </row>
    <row r="89" spans="1:13" ht="13.8">
      <c r="A89" s="8" t="s">
        <v>212</v>
      </c>
      <c r="B89" s="8" t="s">
        <v>213</v>
      </c>
      <c r="C89" s="9">
        <v>2184.2570000000001</v>
      </c>
      <c r="D89" s="9">
        <v>4965.8180000000002</v>
      </c>
      <c r="E89" s="9">
        <v>78.958529999999996</v>
      </c>
      <c r="F89" s="9">
        <v>80.868290000000002</v>
      </c>
      <c r="H89" s="18">
        <f t="shared" si="4"/>
        <v>147</v>
      </c>
      <c r="I89" s="20">
        <f>RANK(F89,F$2:$F$157,1)</f>
        <v>146</v>
      </c>
      <c r="K89" s="21">
        <f t="shared" si="5"/>
        <v>1</v>
      </c>
      <c r="L89" s="22"/>
      <c r="M89" s="24">
        <f t="shared" si="6"/>
        <v>3.4129692832764505E-3</v>
      </c>
    </row>
    <row r="90" spans="1:13" ht="13.8">
      <c r="A90" s="8" t="s">
        <v>214</v>
      </c>
      <c r="B90" s="8" t="s">
        <v>215</v>
      </c>
      <c r="C90" s="9">
        <v>2366.0509999999999</v>
      </c>
      <c r="D90" s="9">
        <v>4720.3810000000003</v>
      </c>
      <c r="E90" s="9">
        <v>77.926829999999995</v>
      </c>
      <c r="F90" s="9">
        <v>79.736590000000007</v>
      </c>
      <c r="H90" s="18">
        <f t="shared" si="4"/>
        <v>144</v>
      </c>
      <c r="I90" s="20">
        <f>RANK(F90,F$2:$F$157,1)</f>
        <v>137</v>
      </c>
      <c r="K90" s="21">
        <f t="shared" si="5"/>
        <v>7</v>
      </c>
      <c r="L90" s="22"/>
      <c r="M90" s="24">
        <f t="shared" si="6"/>
        <v>2.491103202846975E-2</v>
      </c>
    </row>
    <row r="91" spans="1:13" ht="13.8">
      <c r="A91" s="8" t="s">
        <v>216</v>
      </c>
      <c r="B91" s="8" t="s">
        <v>217</v>
      </c>
      <c r="C91" s="9">
        <v>3437.7550000000001</v>
      </c>
      <c r="D91" s="9">
        <v>7998.018</v>
      </c>
      <c r="E91" s="9">
        <v>77.873170000000002</v>
      </c>
      <c r="F91" s="9">
        <v>80.087810000000005</v>
      </c>
      <c r="H91" s="18">
        <f t="shared" si="4"/>
        <v>155</v>
      </c>
      <c r="I91" s="20">
        <f>RANK(F91,F$2:$F$157,1)</f>
        <v>140</v>
      </c>
      <c r="K91" s="21">
        <f t="shared" si="5"/>
        <v>15</v>
      </c>
      <c r="L91" s="22"/>
      <c r="M91" s="24">
        <f t="shared" si="6"/>
        <v>5.0847457627118647E-2</v>
      </c>
    </row>
    <row r="92" spans="1:13" ht="13.8">
      <c r="A92" s="8" t="s">
        <v>218</v>
      </c>
      <c r="B92" s="8" t="s">
        <v>219</v>
      </c>
      <c r="C92" s="9">
        <v>3518.893</v>
      </c>
      <c r="D92" s="9">
        <v>6987.6130000000003</v>
      </c>
      <c r="E92" s="9">
        <v>79.680490000000006</v>
      </c>
      <c r="F92" s="9">
        <v>81.992679999999993</v>
      </c>
      <c r="H92" s="18">
        <f t="shared" si="4"/>
        <v>153</v>
      </c>
      <c r="I92" s="20">
        <f>RANK(F92,F$2:$F$157,1)</f>
        <v>154</v>
      </c>
      <c r="K92" s="21">
        <f t="shared" si="5"/>
        <v>-1</v>
      </c>
      <c r="L92" s="22"/>
      <c r="M92" s="24">
        <f t="shared" si="6"/>
        <v>-3.2573289902280132E-3</v>
      </c>
    </row>
    <row r="93" spans="1:13" ht="13.8">
      <c r="A93" s="8" t="s">
        <v>220</v>
      </c>
      <c r="B93" s="8" t="s">
        <v>221</v>
      </c>
      <c r="C93" s="9">
        <v>4703.4669999999996</v>
      </c>
      <c r="D93" s="9">
        <v>7163.8040000000001</v>
      </c>
      <c r="E93" s="9">
        <v>76.636589999999998</v>
      </c>
      <c r="F93" s="9">
        <v>77.939030000000002</v>
      </c>
      <c r="H93" s="18">
        <f t="shared" si="4"/>
        <v>154</v>
      </c>
      <c r="I93" s="20">
        <f>RANK(F93,F$2:$F$157,1)</f>
        <v>124</v>
      </c>
      <c r="K93" s="21">
        <f t="shared" si="5"/>
        <v>30</v>
      </c>
      <c r="L93" s="22"/>
      <c r="M93" s="24">
        <f t="shared" si="6"/>
        <v>0.1079136690647482</v>
      </c>
    </row>
    <row r="94" spans="1:13" ht="13.8">
      <c r="A94" s="8" t="s">
        <v>222</v>
      </c>
      <c r="B94" s="8" t="s">
        <v>223</v>
      </c>
      <c r="C94" s="9">
        <v>66.434719999999999</v>
      </c>
      <c r="D94" s="9">
        <v>350.81330000000003</v>
      </c>
      <c r="E94" s="9">
        <v>68.912189999999995</v>
      </c>
      <c r="F94" s="9">
        <v>70.456100000000006</v>
      </c>
      <c r="H94" s="18">
        <f t="shared" si="4"/>
        <v>88</v>
      </c>
      <c r="I94" s="20">
        <f>RANK(F94,F$2:$F$157,1)</f>
        <v>69</v>
      </c>
      <c r="K94" s="21">
        <f t="shared" si="5"/>
        <v>19</v>
      </c>
      <c r="L94" s="22"/>
      <c r="M94" s="24">
        <f t="shared" si="6"/>
        <v>0.12101910828025478</v>
      </c>
    </row>
    <row r="95" spans="1:13" ht="13.8">
      <c r="A95" s="8" t="s">
        <v>224</v>
      </c>
      <c r="B95" s="8" t="s">
        <v>225</v>
      </c>
      <c r="C95" s="9">
        <v>219.6808</v>
      </c>
      <c r="D95" s="9">
        <v>1073.903</v>
      </c>
      <c r="E95" s="9">
        <v>70.417079999999999</v>
      </c>
      <c r="F95" s="9">
        <v>73.77073</v>
      </c>
      <c r="H95" s="18">
        <f t="shared" si="4"/>
        <v>120</v>
      </c>
      <c r="I95" s="20">
        <f>RANK(F95,F$2:$F$157,1)</f>
        <v>101</v>
      </c>
      <c r="K95" s="21">
        <f t="shared" si="5"/>
        <v>19</v>
      </c>
      <c r="L95" s="22"/>
      <c r="M95" s="24">
        <f t="shared" si="6"/>
        <v>8.5972850678733032E-2</v>
      </c>
    </row>
    <row r="96" spans="1:13" ht="13.8">
      <c r="A96" s="8" t="s">
        <v>226</v>
      </c>
      <c r="B96" s="8" t="s">
        <v>227</v>
      </c>
      <c r="C96" s="9">
        <v>1691.6679999999999</v>
      </c>
      <c r="D96" s="9">
        <v>4480.5290000000005</v>
      </c>
      <c r="E96" s="9">
        <v>77.465850000000003</v>
      </c>
      <c r="F96" s="9">
        <v>79.568290000000005</v>
      </c>
      <c r="H96" s="18">
        <f t="shared" si="4"/>
        <v>143</v>
      </c>
      <c r="I96" s="20">
        <f>RANK(F96,F$2:$F$157,1)</f>
        <v>135</v>
      </c>
      <c r="K96" s="21">
        <f t="shared" si="5"/>
        <v>8</v>
      </c>
      <c r="L96" s="22"/>
      <c r="M96" s="24">
        <f t="shared" si="6"/>
        <v>2.8776978417266189E-2</v>
      </c>
    </row>
    <row r="97" spans="1:13" ht="13.8">
      <c r="A97" s="8" t="s">
        <v>228</v>
      </c>
      <c r="B97" s="8" t="s">
        <v>229</v>
      </c>
      <c r="C97" s="9">
        <v>197.60579999999999</v>
      </c>
      <c r="D97" s="9">
        <v>979.072</v>
      </c>
      <c r="E97" s="9">
        <v>70.314639999999997</v>
      </c>
      <c r="F97" s="9">
        <v>72.419510000000002</v>
      </c>
      <c r="H97" s="18">
        <f t="shared" si="4"/>
        <v>117</v>
      </c>
      <c r="I97" s="20">
        <f>RANK(F97,F$2:$F$157,1)</f>
        <v>79</v>
      </c>
      <c r="K97" s="21">
        <f t="shared" si="5"/>
        <v>38</v>
      </c>
      <c r="L97" s="22"/>
      <c r="M97" s="24">
        <f t="shared" si="6"/>
        <v>0.19387755102040816</v>
      </c>
    </row>
    <row r="98" spans="1:13" ht="13.8">
      <c r="A98" s="8" t="s">
        <v>230</v>
      </c>
      <c r="B98" s="8" t="s">
        <v>231</v>
      </c>
      <c r="C98" s="9">
        <v>212.9683</v>
      </c>
      <c r="D98" s="9">
        <v>930.96029999999996</v>
      </c>
      <c r="E98" s="9">
        <v>72.01952</v>
      </c>
      <c r="F98" s="9">
        <v>71.812190000000001</v>
      </c>
      <c r="H98" s="18">
        <f t="shared" si="4"/>
        <v>115</v>
      </c>
      <c r="I98" s="20">
        <f>RANK(F98,F$2:$F$157,1)</f>
        <v>72</v>
      </c>
      <c r="K98" s="21">
        <f t="shared" si="5"/>
        <v>43</v>
      </c>
      <c r="L98" s="22"/>
      <c r="M98" s="24">
        <f t="shared" si="6"/>
        <v>0.22994652406417113</v>
      </c>
    </row>
    <row r="99" spans="1:13" ht="13.8">
      <c r="A99" s="8" t="s">
        <v>232</v>
      </c>
      <c r="B99" s="8" t="s">
        <v>233</v>
      </c>
      <c r="C99" s="9">
        <v>21.749369999999999</v>
      </c>
      <c r="D99" s="9">
        <v>180.6523</v>
      </c>
      <c r="E99" s="9">
        <v>66.888270000000006</v>
      </c>
      <c r="F99" s="9">
        <v>68.348659999999995</v>
      </c>
      <c r="H99" s="18">
        <f t="shared" si="4"/>
        <v>69</v>
      </c>
      <c r="I99" s="20">
        <f>RANK(F99,F$2:$F$157,1)</f>
        <v>63</v>
      </c>
      <c r="K99" s="21">
        <f t="shared" si="5"/>
        <v>6</v>
      </c>
      <c r="L99" s="22"/>
      <c r="M99" s="24">
        <f t="shared" si="6"/>
        <v>4.5454545454545456E-2</v>
      </c>
    </row>
    <row r="100" spans="1:13" ht="13.8">
      <c r="A100" s="8" t="s">
        <v>234</v>
      </c>
      <c r="B100" s="8" t="s">
        <v>235</v>
      </c>
      <c r="C100" s="9">
        <v>86.724090000000004</v>
      </c>
      <c r="D100" s="9">
        <v>516.78110000000004</v>
      </c>
      <c r="E100" s="9">
        <v>71.163409999999999</v>
      </c>
      <c r="F100" s="9">
        <v>72.565860000000001</v>
      </c>
      <c r="H100" s="18">
        <f t="shared" si="4"/>
        <v>99</v>
      </c>
      <c r="I100" s="20">
        <f>RANK(F100,F$2:$F$157,1)</f>
        <v>82</v>
      </c>
      <c r="K100" s="21">
        <f t="shared" si="5"/>
        <v>17</v>
      </c>
      <c r="L100" s="22"/>
      <c r="M100" s="24">
        <f t="shared" si="6"/>
        <v>9.3922651933701654E-2</v>
      </c>
    </row>
    <row r="101" spans="1:13" ht="13.8">
      <c r="A101" s="8" t="s">
        <v>236</v>
      </c>
      <c r="B101" s="8" t="s">
        <v>237</v>
      </c>
      <c r="C101" s="9">
        <v>35.540120000000002</v>
      </c>
      <c r="D101" s="9">
        <v>267.97449999999998</v>
      </c>
      <c r="E101" s="9">
        <v>67.863410000000002</v>
      </c>
      <c r="F101" s="9">
        <v>68.251459999999994</v>
      </c>
      <c r="H101" s="18">
        <f t="shared" si="4"/>
        <v>81</v>
      </c>
      <c r="I101" s="20">
        <f>RANK(F101,F$2:$F$157,1)</f>
        <v>62</v>
      </c>
      <c r="K101" s="21">
        <f t="shared" si="5"/>
        <v>19</v>
      </c>
      <c r="L101" s="22"/>
      <c r="M101" s="24">
        <f t="shared" si="6"/>
        <v>0.13286713286713286</v>
      </c>
    </row>
    <row r="102" spans="1:13" ht="13.8">
      <c r="A102" s="8" t="s">
        <v>238</v>
      </c>
      <c r="B102" s="8" t="s">
        <v>239</v>
      </c>
      <c r="C102" s="9">
        <v>20.675329999999999</v>
      </c>
      <c r="D102" s="9">
        <v>45.272199999999998</v>
      </c>
      <c r="E102" s="9">
        <v>61.613880000000002</v>
      </c>
      <c r="F102" s="9">
        <v>64.42295</v>
      </c>
      <c r="H102" s="18">
        <f t="shared" si="4"/>
        <v>29</v>
      </c>
      <c r="I102" s="20">
        <f>RANK(F102,F$2:$F$157,1)</f>
        <v>45</v>
      </c>
      <c r="K102" s="21">
        <f t="shared" si="5"/>
        <v>-16</v>
      </c>
      <c r="L102" s="22"/>
      <c r="M102" s="24">
        <f t="shared" si="6"/>
        <v>-0.21621621621621623</v>
      </c>
    </row>
    <row r="103" spans="1:13" ht="13.8">
      <c r="A103" s="8" t="s">
        <v>240</v>
      </c>
      <c r="B103" s="8" t="s">
        <v>241</v>
      </c>
      <c r="C103" s="9">
        <v>199.57079999999999</v>
      </c>
      <c r="D103" s="9">
        <v>462.06450000000001</v>
      </c>
      <c r="E103" s="9">
        <v>70.374120000000005</v>
      </c>
      <c r="F103" s="9">
        <v>75.811049999999994</v>
      </c>
      <c r="H103" s="18">
        <f t="shared" si="4"/>
        <v>94</v>
      </c>
      <c r="I103" s="20">
        <f>RANK(F103,F$2:$F$157,1)</f>
        <v>116</v>
      </c>
      <c r="K103" s="21">
        <f t="shared" si="5"/>
        <v>-22</v>
      </c>
      <c r="L103" s="22"/>
      <c r="M103" s="24">
        <f t="shared" si="6"/>
        <v>-0.10476190476190476</v>
      </c>
    </row>
    <row r="104" spans="1:13" ht="13.8">
      <c r="A104" s="8" t="s">
        <v>242</v>
      </c>
      <c r="B104" s="8" t="s">
        <v>243</v>
      </c>
      <c r="C104" s="9">
        <v>248.79470000000001</v>
      </c>
      <c r="D104" s="9">
        <v>454.0829</v>
      </c>
      <c r="E104" s="9">
        <v>74.110290000000006</v>
      </c>
      <c r="F104" s="9">
        <v>72.998609999999999</v>
      </c>
      <c r="H104" s="18">
        <f t="shared" si="4"/>
        <v>91</v>
      </c>
      <c r="I104" s="20">
        <f>RANK(F104,F$2:$F$157,1)</f>
        <v>88</v>
      </c>
      <c r="K104" s="21">
        <f t="shared" si="5"/>
        <v>3</v>
      </c>
      <c r="L104" s="22"/>
      <c r="M104" s="24">
        <f t="shared" si="6"/>
        <v>1.6759776536312849E-2</v>
      </c>
    </row>
    <row r="105" spans="1:13" ht="13.8">
      <c r="A105" s="8" t="s">
        <v>244</v>
      </c>
      <c r="B105" s="8" t="s">
        <v>245</v>
      </c>
      <c r="C105" s="9">
        <v>33.11918</v>
      </c>
      <c r="D105" s="9">
        <v>82.598029999999994</v>
      </c>
      <c r="E105" s="9">
        <v>70.984290000000001</v>
      </c>
      <c r="F105" s="9">
        <v>74.433269999999993</v>
      </c>
      <c r="H105" s="18">
        <f t="shared" si="4"/>
        <v>53</v>
      </c>
      <c r="I105" s="20">
        <f>RANK(F105,F$2:$F$157,1)</f>
        <v>107</v>
      </c>
      <c r="K105" s="21">
        <f t="shared" si="5"/>
        <v>-54</v>
      </c>
      <c r="L105" s="22"/>
      <c r="M105" s="24">
        <f t="shared" si="6"/>
        <v>-0.33750000000000002</v>
      </c>
    </row>
    <row r="106" spans="1:13" ht="13.8">
      <c r="A106" s="8" t="s">
        <v>246</v>
      </c>
      <c r="B106" s="8" t="s">
        <v>247</v>
      </c>
      <c r="C106" s="9">
        <v>45.059629999999999</v>
      </c>
      <c r="D106" s="9">
        <v>81.572680000000005</v>
      </c>
      <c r="E106" s="9">
        <v>63.895510000000002</v>
      </c>
      <c r="F106" s="9">
        <v>64.675700000000006</v>
      </c>
      <c r="H106" s="18">
        <f t="shared" si="4"/>
        <v>52</v>
      </c>
      <c r="I106" s="20">
        <f>RANK(F106,F$2:$F$157,1)</f>
        <v>46</v>
      </c>
      <c r="K106" s="21">
        <f t="shared" si="5"/>
        <v>6</v>
      </c>
      <c r="L106" s="22"/>
      <c r="M106" s="24">
        <f t="shared" si="6"/>
        <v>6.1224489795918366E-2</v>
      </c>
    </row>
    <row r="107" spans="1:13" ht="13.8">
      <c r="A107" s="8" t="s">
        <v>248</v>
      </c>
      <c r="B107" s="8" t="s">
        <v>249</v>
      </c>
      <c r="C107" s="9">
        <v>31.705100000000002</v>
      </c>
      <c r="D107" s="9">
        <v>51.385959999999997</v>
      </c>
      <c r="E107" s="9">
        <v>66.950869999999995</v>
      </c>
      <c r="F107" s="9">
        <v>67.566980000000001</v>
      </c>
      <c r="H107" s="18">
        <f t="shared" si="4"/>
        <v>35</v>
      </c>
      <c r="I107" s="20">
        <f>RANK(F107,F$2:$F$157,1)</f>
        <v>56</v>
      </c>
      <c r="K107" s="21">
        <f t="shared" si="5"/>
        <v>-21</v>
      </c>
      <c r="L107" s="22"/>
      <c r="M107" s="24">
        <f t="shared" si="6"/>
        <v>-0.23076923076923078</v>
      </c>
    </row>
    <row r="108" spans="1:13" ht="13.8">
      <c r="A108" s="8" t="s">
        <v>250</v>
      </c>
      <c r="B108" s="8" t="s">
        <v>251</v>
      </c>
      <c r="C108" s="9">
        <v>24.639970000000002</v>
      </c>
      <c r="D108" s="9">
        <v>66.501530000000002</v>
      </c>
      <c r="E108" s="9">
        <v>59.68985</v>
      </c>
      <c r="F108" s="9">
        <v>64.139560000000003</v>
      </c>
      <c r="H108" s="18">
        <f t="shared" si="4"/>
        <v>42</v>
      </c>
      <c r="I108" s="20">
        <f>RANK(F108,F$2:$F$157,1)</f>
        <v>44</v>
      </c>
      <c r="K108" s="21">
        <f t="shared" si="5"/>
        <v>-2</v>
      </c>
      <c r="L108" s="22"/>
      <c r="M108" s="24">
        <f t="shared" si="6"/>
        <v>-2.3255813953488372E-2</v>
      </c>
    </row>
    <row r="109" spans="1:13" ht="13.8">
      <c r="A109" s="8" t="s">
        <v>252</v>
      </c>
      <c r="B109" s="8" t="s">
        <v>253</v>
      </c>
      <c r="C109" s="9">
        <v>40.639420000000001</v>
      </c>
      <c r="D109" s="9">
        <v>142.8109</v>
      </c>
      <c r="E109" s="9">
        <v>70.989440000000002</v>
      </c>
      <c r="F109" s="9">
        <v>73.495949999999993</v>
      </c>
      <c r="H109" s="18">
        <f t="shared" si="4"/>
        <v>62</v>
      </c>
      <c r="I109" s="20">
        <f>RANK(F109,F$2:$F$157,1)</f>
        <v>95</v>
      </c>
      <c r="K109" s="21">
        <f t="shared" si="5"/>
        <v>-33</v>
      </c>
      <c r="L109" s="22"/>
      <c r="M109" s="24">
        <f t="shared" si="6"/>
        <v>-0.21019108280254778</v>
      </c>
    </row>
    <row r="110" spans="1:13" ht="13.8">
      <c r="A110" s="8" t="s">
        <v>254</v>
      </c>
      <c r="B110" s="8" t="s">
        <v>255</v>
      </c>
      <c r="C110" s="9">
        <v>30.355340000000002</v>
      </c>
      <c r="D110" s="9">
        <v>239.56200000000001</v>
      </c>
      <c r="E110" s="9">
        <v>66.757220000000004</v>
      </c>
      <c r="F110" s="9">
        <v>70.067859999999996</v>
      </c>
      <c r="H110" s="18">
        <f t="shared" si="4"/>
        <v>74</v>
      </c>
      <c r="I110" s="20">
        <f>RANK(F110,F$2:$F$157,1)</f>
        <v>67</v>
      </c>
      <c r="K110" s="21">
        <f t="shared" si="5"/>
        <v>7</v>
      </c>
      <c r="L110" s="22"/>
      <c r="M110" s="24">
        <f t="shared" si="6"/>
        <v>4.9645390070921988E-2</v>
      </c>
    </row>
    <row r="111" spans="1:13" ht="13.8">
      <c r="A111" s="8" t="s">
        <v>256</v>
      </c>
      <c r="B111" s="8" t="s">
        <v>257</v>
      </c>
      <c r="C111" s="9">
        <v>487.69</v>
      </c>
      <c r="D111" s="9">
        <v>1044.028</v>
      </c>
      <c r="E111" s="9">
        <v>73.79607</v>
      </c>
      <c r="F111" s="9">
        <v>74.758610000000004</v>
      </c>
      <c r="H111" s="18">
        <f t="shared" si="4"/>
        <v>119</v>
      </c>
      <c r="I111" s="20">
        <f>RANK(F111,F$2:$F$157,1)</f>
        <v>109</v>
      </c>
      <c r="K111" s="21">
        <f t="shared" si="5"/>
        <v>10</v>
      </c>
      <c r="L111" s="22"/>
      <c r="M111" s="24">
        <f t="shared" si="6"/>
        <v>4.3859649122807015E-2</v>
      </c>
    </row>
    <row r="112" spans="1:13" ht="13.8">
      <c r="A112" s="8" t="s">
        <v>258</v>
      </c>
      <c r="B112" s="8" t="s">
        <v>259</v>
      </c>
      <c r="C112" s="9">
        <v>225.6157</v>
      </c>
      <c r="D112" s="9">
        <v>254.303</v>
      </c>
      <c r="E112" s="9">
        <v>69.739660000000001</v>
      </c>
      <c r="F112" s="9">
        <v>72.219660000000005</v>
      </c>
      <c r="H112" s="18">
        <f t="shared" si="4"/>
        <v>76</v>
      </c>
      <c r="I112" s="20">
        <f>RANK(F112,F$2:$F$157,1)</f>
        <v>75</v>
      </c>
      <c r="K112" s="21">
        <f t="shared" si="5"/>
        <v>1</v>
      </c>
      <c r="L112" s="22"/>
      <c r="M112" s="24">
        <f t="shared" si="6"/>
        <v>6.6225165562913907E-3</v>
      </c>
    </row>
    <row r="113" spans="1:13" ht="13.8">
      <c r="A113" s="8" t="s">
        <v>260</v>
      </c>
      <c r="B113" s="8" t="s">
        <v>261</v>
      </c>
      <c r="C113" s="9">
        <v>437.53070000000002</v>
      </c>
      <c r="D113" s="9">
        <v>989.83050000000003</v>
      </c>
      <c r="E113" s="9">
        <v>73.752489999999995</v>
      </c>
      <c r="F113" s="9">
        <v>74.378299999999996</v>
      </c>
      <c r="H113" s="18">
        <f t="shared" si="4"/>
        <v>118</v>
      </c>
      <c r="I113" s="20">
        <f>RANK(F113,F$2:$F$157,1)</f>
        <v>105</v>
      </c>
      <c r="K113" s="21">
        <f t="shared" si="5"/>
        <v>13</v>
      </c>
      <c r="L113" s="22"/>
      <c r="M113" s="24">
        <f t="shared" si="6"/>
        <v>5.829596412556054E-2</v>
      </c>
    </row>
    <row r="114" spans="1:13" ht="13.8">
      <c r="A114" s="8" t="s">
        <v>262</v>
      </c>
      <c r="B114" s="8" t="s">
        <v>263</v>
      </c>
      <c r="C114" s="9">
        <v>659.02499999999998</v>
      </c>
      <c r="D114" s="9">
        <v>1774.9549999999999</v>
      </c>
      <c r="E114" s="9">
        <v>76.303190000000001</v>
      </c>
      <c r="F114" s="9">
        <v>77.774510000000006</v>
      </c>
      <c r="H114" s="18">
        <f t="shared" si="4"/>
        <v>129</v>
      </c>
      <c r="I114" s="20">
        <f>RANK(F114,F$2:$F$157,1)</f>
        <v>123</v>
      </c>
      <c r="K114" s="21">
        <f t="shared" si="5"/>
        <v>6</v>
      </c>
      <c r="L114" s="22"/>
      <c r="M114" s="24">
        <f t="shared" si="6"/>
        <v>2.3809523809523808E-2</v>
      </c>
    </row>
    <row r="115" spans="1:13" ht="13.8">
      <c r="A115" s="8" t="s">
        <v>264</v>
      </c>
      <c r="B115" s="8" t="s">
        <v>265</v>
      </c>
      <c r="C115" s="9">
        <v>385.74439999999998</v>
      </c>
      <c r="D115" s="9">
        <v>675.9982</v>
      </c>
      <c r="E115" s="9">
        <v>71.492099999999994</v>
      </c>
      <c r="F115" s="9">
        <v>73.402079999999998</v>
      </c>
      <c r="H115" s="18">
        <f t="shared" si="4"/>
        <v>109</v>
      </c>
      <c r="I115" s="20">
        <f>RANK(F115,F$2:$F$157,1)</f>
        <v>94</v>
      </c>
      <c r="K115" s="21">
        <f t="shared" si="5"/>
        <v>15</v>
      </c>
      <c r="L115" s="22"/>
      <c r="M115" s="24">
        <f t="shared" si="6"/>
        <v>7.3891625615763554E-2</v>
      </c>
    </row>
    <row r="116" spans="1:13" ht="13.8">
      <c r="A116" s="8" t="s">
        <v>266</v>
      </c>
      <c r="B116" s="8" t="s">
        <v>267</v>
      </c>
      <c r="C116" s="9">
        <v>698.96749999999997</v>
      </c>
      <c r="D116" s="9">
        <v>1426.9570000000001</v>
      </c>
      <c r="E116" s="9">
        <v>74.61591</v>
      </c>
      <c r="F116" s="9">
        <v>76.221339999999998</v>
      </c>
      <c r="H116" s="18">
        <f t="shared" si="4"/>
        <v>127</v>
      </c>
      <c r="I116" s="20">
        <f>RANK(F116,F$2:$F$157,1)</f>
        <v>119</v>
      </c>
      <c r="K116" s="21">
        <f t="shared" si="5"/>
        <v>8</v>
      </c>
      <c r="L116" s="22"/>
      <c r="M116" s="24">
        <f t="shared" si="6"/>
        <v>3.2520325203252036E-2</v>
      </c>
    </row>
    <row r="117" spans="1:13" ht="13.8">
      <c r="A117" s="8" t="s">
        <v>268</v>
      </c>
      <c r="B117" s="8" t="s">
        <v>269</v>
      </c>
      <c r="C117" s="9">
        <v>11.00906</v>
      </c>
      <c r="D117" s="9">
        <v>47.482840000000003</v>
      </c>
      <c r="E117" s="9">
        <v>45.292850000000001</v>
      </c>
      <c r="F117" s="9">
        <v>47.538559999999997</v>
      </c>
      <c r="H117" s="18">
        <f t="shared" si="4"/>
        <v>32</v>
      </c>
      <c r="I117" s="20">
        <f>RANK(F117,F$2:$F$157,1)</f>
        <v>7</v>
      </c>
      <c r="K117" s="21">
        <f t="shared" si="5"/>
        <v>25</v>
      </c>
      <c r="L117" s="22"/>
      <c r="M117" s="24">
        <f t="shared" si="6"/>
        <v>0.64102564102564108</v>
      </c>
    </row>
    <row r="118" spans="1:13" ht="13.8">
      <c r="A118" s="8" t="s">
        <v>270</v>
      </c>
      <c r="B118" s="8" t="s">
        <v>271</v>
      </c>
      <c r="C118" s="9">
        <v>12.932919999999999</v>
      </c>
      <c r="D118" s="9">
        <v>54.146180000000001</v>
      </c>
      <c r="E118" s="9">
        <v>68.558539999999994</v>
      </c>
      <c r="F118" s="9">
        <v>68.451220000000006</v>
      </c>
      <c r="H118" s="18">
        <f t="shared" si="4"/>
        <v>36</v>
      </c>
      <c r="I118" s="20">
        <f>RANK(F118,F$2:$F$157,1)</f>
        <v>64</v>
      </c>
      <c r="K118" s="21">
        <f t="shared" si="5"/>
        <v>-28</v>
      </c>
      <c r="L118" s="22"/>
      <c r="M118" s="24">
        <f t="shared" si="6"/>
        <v>-0.28000000000000003</v>
      </c>
    </row>
    <row r="119" spans="1:13" ht="13.8">
      <c r="A119" s="8" t="s">
        <v>272</v>
      </c>
      <c r="B119" s="8" t="s">
        <v>273</v>
      </c>
      <c r="C119" s="9">
        <v>11.8599</v>
      </c>
      <c r="D119" s="9">
        <v>24.357900000000001</v>
      </c>
      <c r="E119" s="9">
        <v>61.521630000000002</v>
      </c>
      <c r="F119" s="9">
        <v>67.527950000000004</v>
      </c>
      <c r="H119" s="18">
        <f t="shared" si="4"/>
        <v>15</v>
      </c>
      <c r="I119" s="20">
        <f>RANK(F119,F$2:$F$157,1)</f>
        <v>55</v>
      </c>
      <c r="K119" s="21">
        <f t="shared" si="5"/>
        <v>-40</v>
      </c>
      <c r="L119" s="22"/>
      <c r="M119" s="24">
        <f t="shared" si="6"/>
        <v>-0.5714285714285714</v>
      </c>
    </row>
    <row r="120" spans="1:13" ht="13.8">
      <c r="A120" s="8" t="s">
        <v>274</v>
      </c>
      <c r="B120" s="8" t="s">
        <v>275</v>
      </c>
      <c r="C120" s="9">
        <v>14.563610000000001</v>
      </c>
      <c r="D120" s="9">
        <v>21.610420000000001</v>
      </c>
      <c r="E120" s="9">
        <v>63.161949999999997</v>
      </c>
      <c r="F120" s="9">
        <v>64.721950000000007</v>
      </c>
      <c r="H120" s="18">
        <f t="shared" si="4"/>
        <v>12</v>
      </c>
      <c r="I120" s="20">
        <f>RANK(F120,F$2:$F$157,1)</f>
        <v>47</v>
      </c>
      <c r="K120" s="21">
        <f t="shared" si="5"/>
        <v>-35</v>
      </c>
      <c r="L120" s="22"/>
      <c r="M120" s="24">
        <f t="shared" si="6"/>
        <v>-0.59322033898305082</v>
      </c>
    </row>
    <row r="121" spans="1:13" ht="13.8">
      <c r="A121" s="8" t="s">
        <v>276</v>
      </c>
      <c r="B121" s="8" t="s">
        <v>277</v>
      </c>
      <c r="C121" s="9">
        <v>6.4702109999999999</v>
      </c>
      <c r="D121" s="9">
        <v>37.390389999999996</v>
      </c>
      <c r="E121" s="9">
        <v>63.755339999999997</v>
      </c>
      <c r="F121" s="9">
        <v>66.65598</v>
      </c>
      <c r="H121" s="18">
        <f t="shared" si="4"/>
        <v>23</v>
      </c>
      <c r="I121" s="20">
        <f>RANK(F121,F$2:$F$157,1)</f>
        <v>52</v>
      </c>
      <c r="K121" s="21">
        <f t="shared" si="5"/>
        <v>-29</v>
      </c>
      <c r="L121" s="22"/>
      <c r="M121" s="24">
        <f t="shared" si="6"/>
        <v>-0.38666666666666666</v>
      </c>
    </row>
    <row r="122" spans="1:13" ht="13.8">
      <c r="A122" s="8" t="s">
        <v>278</v>
      </c>
      <c r="B122" s="8" t="s">
        <v>279</v>
      </c>
      <c r="C122" s="9">
        <v>9.0932469999999999</v>
      </c>
      <c r="D122" s="9">
        <v>16.519380000000002</v>
      </c>
      <c r="E122" s="9">
        <v>64.730339999999998</v>
      </c>
      <c r="F122" s="9">
        <v>68.004019999999997</v>
      </c>
      <c r="H122" s="18">
        <f t="shared" si="4"/>
        <v>5</v>
      </c>
      <c r="I122" s="20">
        <f>RANK(F122,F$2:$F$157,1)</f>
        <v>60</v>
      </c>
      <c r="K122" s="21">
        <f t="shared" si="5"/>
        <v>-55</v>
      </c>
      <c r="L122" s="22"/>
      <c r="M122" s="24">
        <f t="shared" si="6"/>
        <v>-0.84615384615384615</v>
      </c>
    </row>
    <row r="123" spans="1:13" ht="13.8">
      <c r="A123" s="8" t="s">
        <v>280</v>
      </c>
      <c r="B123" s="8" t="s">
        <v>281</v>
      </c>
      <c r="C123" s="9">
        <v>52.560740000000003</v>
      </c>
      <c r="D123" s="9">
        <v>100.1259</v>
      </c>
      <c r="E123" s="9">
        <v>61.374220000000001</v>
      </c>
      <c r="F123" s="9">
        <v>66.151309999999995</v>
      </c>
      <c r="H123" s="18">
        <f t="shared" si="4"/>
        <v>56</v>
      </c>
      <c r="I123" s="20">
        <f>RANK(F123,F$2:$F$157,1)</f>
        <v>50</v>
      </c>
      <c r="K123" s="21">
        <f t="shared" si="5"/>
        <v>6</v>
      </c>
      <c r="L123" s="22"/>
      <c r="M123" s="24">
        <f t="shared" si="6"/>
        <v>5.6603773584905662E-2</v>
      </c>
    </row>
    <row r="124" spans="1:13" ht="13.8">
      <c r="A124" s="8" t="s">
        <v>282</v>
      </c>
      <c r="B124" s="8" t="s">
        <v>283</v>
      </c>
      <c r="C124" s="9">
        <v>540.69899999999996</v>
      </c>
      <c r="D124" s="9">
        <v>833.73620000000005</v>
      </c>
      <c r="E124" s="9">
        <v>76.232339999999994</v>
      </c>
      <c r="F124" s="9">
        <v>77.662289999999999</v>
      </c>
      <c r="H124" s="18">
        <f t="shared" si="4"/>
        <v>114</v>
      </c>
      <c r="I124" s="20">
        <f>RANK(F124,F$2:$F$157,1)</f>
        <v>122</v>
      </c>
      <c r="K124" s="21">
        <f t="shared" si="5"/>
        <v>-8</v>
      </c>
      <c r="L124" s="22"/>
      <c r="M124" s="24">
        <f t="shared" si="6"/>
        <v>-3.3898305084745763E-2</v>
      </c>
    </row>
    <row r="125" spans="1:13" ht="13.8">
      <c r="A125" s="8" t="s">
        <v>284</v>
      </c>
      <c r="B125" s="8" t="s">
        <v>285</v>
      </c>
      <c r="C125" s="9">
        <v>43.722209999999997</v>
      </c>
      <c r="D125" s="9">
        <v>146.11330000000001</v>
      </c>
      <c r="E125" s="9">
        <v>71.241709999999998</v>
      </c>
      <c r="F125" s="9">
        <v>72.835340000000002</v>
      </c>
      <c r="H125" s="18">
        <f t="shared" si="4"/>
        <v>63</v>
      </c>
      <c r="I125" s="20">
        <f>RANK(F125,F$2:$F$157,1)</f>
        <v>84</v>
      </c>
      <c r="K125" s="21">
        <f t="shared" si="5"/>
        <v>-21</v>
      </c>
      <c r="L125" s="22"/>
      <c r="M125" s="24">
        <f t="shared" si="6"/>
        <v>-0.14285714285714285</v>
      </c>
    </row>
    <row r="126" spans="1:13" ht="13.8">
      <c r="A126" s="8" t="s">
        <v>286</v>
      </c>
      <c r="B126" s="8" t="s">
        <v>287</v>
      </c>
      <c r="C126" s="9">
        <v>2827.451</v>
      </c>
      <c r="D126" s="9">
        <v>3189.7840000000001</v>
      </c>
      <c r="E126" s="9">
        <v>81.076099999999997</v>
      </c>
      <c r="F126" s="9">
        <v>82.587559999999996</v>
      </c>
      <c r="H126" s="18">
        <f t="shared" si="4"/>
        <v>137</v>
      </c>
      <c r="I126" s="20">
        <f>RANK(F126,F$2:$F$157,1)</f>
        <v>155</v>
      </c>
      <c r="K126" s="21">
        <f t="shared" si="5"/>
        <v>-18</v>
      </c>
      <c r="L126" s="22"/>
      <c r="M126" s="24">
        <f t="shared" si="6"/>
        <v>-6.1643835616438353E-2</v>
      </c>
    </row>
    <row r="127" spans="1:13" ht="13.8">
      <c r="A127" s="8" t="s">
        <v>288</v>
      </c>
      <c r="B127" s="8" t="s">
        <v>289</v>
      </c>
      <c r="C127" s="9">
        <v>33.471699999999998</v>
      </c>
      <c r="D127" s="9">
        <v>68.025390000000002</v>
      </c>
      <c r="E127" s="9">
        <v>66.795140000000004</v>
      </c>
      <c r="F127" s="9">
        <v>67.988929999999996</v>
      </c>
      <c r="H127" s="18">
        <f t="shared" si="4"/>
        <v>43</v>
      </c>
      <c r="I127" s="20">
        <f>RANK(F127,F$2:$F$157,1)</f>
        <v>59</v>
      </c>
      <c r="K127" s="21">
        <f t="shared" si="5"/>
        <v>-16</v>
      </c>
      <c r="L127" s="22"/>
      <c r="M127" s="24">
        <f t="shared" si="6"/>
        <v>-0.15686274509803921</v>
      </c>
    </row>
    <row r="128" spans="1:13" ht="13.8">
      <c r="A128" s="8" t="s">
        <v>290</v>
      </c>
      <c r="B128" s="8" t="s">
        <v>291</v>
      </c>
      <c r="C128" s="9">
        <v>543.0566</v>
      </c>
      <c r="D128" s="9">
        <v>1244.952</v>
      </c>
      <c r="E128" s="9">
        <v>75.85548</v>
      </c>
      <c r="F128" s="9">
        <v>79.832679999999996</v>
      </c>
      <c r="H128" s="18">
        <f t="shared" si="4"/>
        <v>123</v>
      </c>
      <c r="I128" s="20">
        <f>RANK(F128,F$2:$F$157,1)</f>
        <v>138</v>
      </c>
      <c r="K128" s="21">
        <f t="shared" si="5"/>
        <v>-15</v>
      </c>
      <c r="L128" s="22"/>
      <c r="M128" s="24">
        <f t="shared" si="6"/>
        <v>-5.7471264367816091E-2</v>
      </c>
    </row>
    <row r="129" spans="1:13" ht="13.8">
      <c r="A129" s="8" t="s">
        <v>292</v>
      </c>
      <c r="B129" s="8" t="s">
        <v>293</v>
      </c>
      <c r="C129" s="9">
        <v>16.544329999999999</v>
      </c>
      <c r="D129" s="9">
        <v>42.78886</v>
      </c>
      <c r="E129" s="9">
        <v>57.464149999999997</v>
      </c>
      <c r="F129" s="9">
        <v>61.580849999999998</v>
      </c>
      <c r="H129" s="18">
        <f t="shared" si="4"/>
        <v>27</v>
      </c>
      <c r="I129" s="20">
        <f>RANK(F129,F$2:$F$157,1)</f>
        <v>40</v>
      </c>
      <c r="K129" s="21">
        <f t="shared" si="5"/>
        <v>-13</v>
      </c>
      <c r="L129" s="22"/>
      <c r="M129" s="24">
        <f t="shared" si="6"/>
        <v>-0.19402985074626866</v>
      </c>
    </row>
    <row r="130" spans="1:13" ht="13.8">
      <c r="A130" s="8" t="s">
        <v>294</v>
      </c>
      <c r="B130" s="8" t="s">
        <v>295</v>
      </c>
      <c r="C130" s="9">
        <v>10.2392</v>
      </c>
      <c r="D130" s="9">
        <v>33.987180000000002</v>
      </c>
      <c r="E130" s="9">
        <v>61.39461</v>
      </c>
      <c r="F130" s="9">
        <v>66.184389999999993</v>
      </c>
      <c r="H130" s="18">
        <f t="shared" si="4"/>
        <v>21</v>
      </c>
      <c r="I130" s="20">
        <f>RANK(F130,F$2:$F$157,1)</f>
        <v>51</v>
      </c>
      <c r="K130" s="21">
        <f t="shared" si="5"/>
        <v>-30</v>
      </c>
      <c r="L130" s="22"/>
      <c r="M130" s="24">
        <f t="shared" si="6"/>
        <v>-0.41666666666666669</v>
      </c>
    </row>
    <row r="131" spans="1:13" ht="13.8">
      <c r="A131" s="8" t="s">
        <v>296</v>
      </c>
      <c r="B131" s="8" t="s">
        <v>297</v>
      </c>
      <c r="C131" s="9">
        <v>128.12049999999999</v>
      </c>
      <c r="D131" s="9">
        <v>353.2029</v>
      </c>
      <c r="E131" s="9">
        <v>72.142489999999995</v>
      </c>
      <c r="F131" s="9">
        <v>73.568119999999993</v>
      </c>
      <c r="H131" s="18">
        <f t="shared" ref="H131:H157" si="7">RANK(D131,D$2:D$157,1)</f>
        <v>89</v>
      </c>
      <c r="I131" s="20">
        <f>RANK(F131,F$2:$F$157,1)</f>
        <v>96</v>
      </c>
      <c r="K131" s="21">
        <f t="shared" ref="K131:K157" si="8">H131-I131</f>
        <v>-7</v>
      </c>
      <c r="L131" s="22"/>
      <c r="M131" s="24">
        <f t="shared" ref="M131:M157" si="9">K131/(H131+I131)</f>
        <v>-3.783783783783784E-2</v>
      </c>
    </row>
    <row r="132" spans="1:13" ht="13.8">
      <c r="A132" s="8" t="s">
        <v>298</v>
      </c>
      <c r="B132" s="8" t="s">
        <v>299</v>
      </c>
      <c r="C132" s="9">
        <v>3.263401</v>
      </c>
      <c r="D132" s="9">
        <v>9.9595990000000008</v>
      </c>
      <c r="E132" s="9">
        <v>61.855710000000002</v>
      </c>
      <c r="F132" s="9">
        <v>63.781759999999998</v>
      </c>
      <c r="H132" s="18">
        <f t="shared" si="7"/>
        <v>2</v>
      </c>
      <c r="I132" s="20">
        <f>RANK(F132,F$2:$F$157,1)</f>
        <v>43</v>
      </c>
      <c r="K132" s="21">
        <f t="shared" si="8"/>
        <v>-41</v>
      </c>
      <c r="L132" s="22"/>
      <c r="M132" s="24">
        <f t="shared" si="9"/>
        <v>-0.91111111111111109</v>
      </c>
    </row>
    <row r="133" spans="1:13" ht="13.8">
      <c r="A133" s="8" t="s">
        <v>300</v>
      </c>
      <c r="B133" s="8" t="s">
        <v>301</v>
      </c>
      <c r="C133" s="9">
        <v>648.25310000000002</v>
      </c>
      <c r="D133" s="9">
        <v>1403.653</v>
      </c>
      <c r="E133" s="9">
        <v>78.051220000000001</v>
      </c>
      <c r="F133" s="9">
        <v>80.79025</v>
      </c>
      <c r="H133" s="18">
        <f t="shared" si="7"/>
        <v>126</v>
      </c>
      <c r="I133" s="20">
        <f>RANK(F133,F$2:$F$157,1)</f>
        <v>145</v>
      </c>
      <c r="K133" s="21">
        <f t="shared" si="8"/>
        <v>-19</v>
      </c>
      <c r="L133" s="22"/>
      <c r="M133" s="24">
        <f t="shared" si="9"/>
        <v>-7.0110701107011064E-2</v>
      </c>
    </row>
    <row r="134" spans="1:13" ht="13.8">
      <c r="A134" s="8" t="s">
        <v>302</v>
      </c>
      <c r="B134" s="8" t="s">
        <v>303</v>
      </c>
      <c r="C134" s="9">
        <v>66.836119999999994</v>
      </c>
      <c r="D134" s="9">
        <v>163.82660000000001</v>
      </c>
      <c r="E134" s="9">
        <v>72.515219999999999</v>
      </c>
      <c r="F134" s="9">
        <v>73.61327</v>
      </c>
      <c r="H134" s="18">
        <f t="shared" si="7"/>
        <v>68</v>
      </c>
      <c r="I134" s="20">
        <f>RANK(F134,F$2:$F$157,1)</f>
        <v>97</v>
      </c>
      <c r="K134" s="21">
        <f t="shared" si="8"/>
        <v>-29</v>
      </c>
      <c r="L134" s="22"/>
      <c r="M134" s="24">
        <f t="shared" si="9"/>
        <v>-0.17575757575757575</v>
      </c>
    </row>
    <row r="135" spans="1:13" ht="13.8">
      <c r="A135" s="8" t="s">
        <v>304</v>
      </c>
      <c r="B135" s="8" t="s">
        <v>305</v>
      </c>
      <c r="C135" s="9">
        <v>21.54214</v>
      </c>
      <c r="D135" s="9">
        <v>75.783779999999993</v>
      </c>
      <c r="E135" s="9">
        <v>71.945509999999999</v>
      </c>
      <c r="F135" s="9">
        <v>74.385459999999995</v>
      </c>
      <c r="H135" s="18">
        <f t="shared" si="7"/>
        <v>49</v>
      </c>
      <c r="I135" s="20">
        <f>RANK(F135,F$2:$F$157,1)</f>
        <v>106</v>
      </c>
      <c r="K135" s="21">
        <f t="shared" si="8"/>
        <v>-57</v>
      </c>
      <c r="L135" s="22"/>
      <c r="M135" s="24">
        <f t="shared" si="9"/>
        <v>-0.36774193548387096</v>
      </c>
    </row>
    <row r="136" spans="1:13" ht="13.8">
      <c r="A136" s="8" t="s">
        <v>306</v>
      </c>
      <c r="B136" s="8" t="s">
        <v>307</v>
      </c>
      <c r="C136" s="9">
        <v>154.92269999999999</v>
      </c>
      <c r="D136" s="9">
        <v>529.78899999999999</v>
      </c>
      <c r="E136" s="9">
        <v>50.76549</v>
      </c>
      <c r="F136" s="9">
        <v>52.663679999999999</v>
      </c>
      <c r="H136" s="18">
        <f t="shared" si="7"/>
        <v>100</v>
      </c>
      <c r="I136" s="20">
        <f>RANK(F136,F$2:$F$157,1)</f>
        <v>19</v>
      </c>
      <c r="K136" s="21">
        <f t="shared" si="8"/>
        <v>81</v>
      </c>
      <c r="L136" s="22"/>
      <c r="M136" s="24">
        <f t="shared" si="9"/>
        <v>0.68067226890756305</v>
      </c>
    </row>
    <row r="137" spans="1:13" ht="13.8">
      <c r="A137" s="8" t="s">
        <v>308</v>
      </c>
      <c r="B137" s="8" t="s">
        <v>309</v>
      </c>
      <c r="C137" s="9">
        <v>17.152249999999999</v>
      </c>
      <c r="D137" s="9">
        <v>33.112360000000002</v>
      </c>
      <c r="E137" s="9">
        <v>52.299630000000001</v>
      </c>
      <c r="F137" s="9">
        <v>55.124220000000001</v>
      </c>
      <c r="H137" s="18">
        <f t="shared" si="7"/>
        <v>20</v>
      </c>
      <c r="I137" s="20">
        <f>RANK(F137,F$2:$F$157,1)</f>
        <v>27</v>
      </c>
      <c r="K137" s="21">
        <f t="shared" si="8"/>
        <v>-7</v>
      </c>
      <c r="L137" s="22"/>
      <c r="M137" s="24">
        <f t="shared" si="9"/>
        <v>-0.14893617021276595</v>
      </c>
    </row>
    <row r="138" spans="1:13" ht="13.8">
      <c r="A138" s="8" t="s">
        <v>310</v>
      </c>
      <c r="B138" s="8" t="s">
        <v>311</v>
      </c>
      <c r="C138" s="9">
        <v>9.2018120000000003</v>
      </c>
      <c r="D138" s="9">
        <v>45.424689999999998</v>
      </c>
      <c r="E138" s="9">
        <v>46.510219999999997</v>
      </c>
      <c r="F138" s="9">
        <v>54.206200000000003</v>
      </c>
      <c r="H138" s="18">
        <f t="shared" si="7"/>
        <v>30</v>
      </c>
      <c r="I138" s="20">
        <f>RANK(F138,F$2:$F$157,1)</f>
        <v>24</v>
      </c>
      <c r="K138" s="21">
        <f t="shared" si="8"/>
        <v>6</v>
      </c>
      <c r="L138" s="22"/>
      <c r="M138" s="24">
        <f t="shared" si="9"/>
        <v>0.1111111111111111</v>
      </c>
    </row>
    <row r="139" spans="1:13" ht="13.8">
      <c r="A139" s="8" t="s">
        <v>312</v>
      </c>
      <c r="B139" s="8" t="s">
        <v>313</v>
      </c>
      <c r="C139" s="9">
        <v>10.07451</v>
      </c>
      <c r="D139" s="9">
        <v>22.14847</v>
      </c>
      <c r="E139" s="9">
        <v>50.373289999999997</v>
      </c>
      <c r="F139" s="9">
        <v>55.769440000000003</v>
      </c>
      <c r="H139" s="18">
        <f t="shared" si="7"/>
        <v>14</v>
      </c>
      <c r="I139" s="20">
        <f>RANK(F139,F$2:$F$157,1)</f>
        <v>28</v>
      </c>
      <c r="K139" s="21">
        <f t="shared" si="8"/>
        <v>-14</v>
      </c>
      <c r="L139" s="22"/>
      <c r="M139" s="24">
        <f t="shared" si="9"/>
        <v>-0.33333333333333331</v>
      </c>
    </row>
    <row r="140" spans="1:13" ht="13.8">
      <c r="A140" s="8" t="s">
        <v>314</v>
      </c>
      <c r="B140" s="8" t="s">
        <v>315</v>
      </c>
      <c r="C140" s="9">
        <v>17.528670000000002</v>
      </c>
      <c r="D140" s="9">
        <v>68.359409999999997</v>
      </c>
      <c r="E140" s="9">
        <v>41.929879999999997</v>
      </c>
      <c r="F140" s="9">
        <v>47.052439999999997</v>
      </c>
      <c r="H140" s="18">
        <f t="shared" si="7"/>
        <v>44</v>
      </c>
      <c r="I140" s="20">
        <f>RANK(F140,F$2:$F$157,1)</f>
        <v>5</v>
      </c>
      <c r="K140" s="21">
        <f t="shared" si="8"/>
        <v>39</v>
      </c>
      <c r="L140" s="22"/>
      <c r="M140" s="24">
        <f t="shared" si="9"/>
        <v>0.79591836734693877</v>
      </c>
    </row>
    <row r="141" spans="1:13" ht="13.8">
      <c r="A141" s="8" t="s">
        <v>316</v>
      </c>
      <c r="B141" s="8" t="s">
        <v>317</v>
      </c>
      <c r="C141" s="9">
        <v>27.844449999999998</v>
      </c>
      <c r="D141" s="9">
        <v>60.467730000000003</v>
      </c>
      <c r="E141" s="9">
        <v>47.586359999999999</v>
      </c>
      <c r="F141" s="9">
        <v>45.931559999999998</v>
      </c>
      <c r="H141" s="18">
        <f t="shared" si="7"/>
        <v>38</v>
      </c>
      <c r="I141" s="20">
        <f>RANK(F141,F$2:$F$157,1)</f>
        <v>1</v>
      </c>
      <c r="K141" s="21">
        <f t="shared" si="8"/>
        <v>37</v>
      </c>
      <c r="L141" s="22"/>
      <c r="M141" s="24">
        <f t="shared" si="9"/>
        <v>0.94871794871794868</v>
      </c>
    </row>
    <row r="142" spans="1:13" ht="13.8">
      <c r="A142" s="8" t="s">
        <v>318</v>
      </c>
      <c r="B142" s="8" t="s">
        <v>319</v>
      </c>
      <c r="C142" s="9">
        <v>8.8450159999999993</v>
      </c>
      <c r="D142" s="9">
        <v>17.900780000000001</v>
      </c>
      <c r="E142" s="9">
        <v>46.029730000000001</v>
      </c>
      <c r="F142" s="9">
        <v>51.804729999999999</v>
      </c>
      <c r="H142" s="18">
        <f t="shared" si="7"/>
        <v>7</v>
      </c>
      <c r="I142" s="20">
        <f>RANK(F142,F$2:$F$157,1)</f>
        <v>17</v>
      </c>
      <c r="K142" s="21">
        <f t="shared" si="8"/>
        <v>-10</v>
      </c>
      <c r="L142" s="22"/>
      <c r="M142" s="24">
        <f t="shared" si="9"/>
        <v>-0.41666666666666669</v>
      </c>
    </row>
    <row r="143" spans="1:13" ht="13.8">
      <c r="A143" s="8" t="s">
        <v>320</v>
      </c>
      <c r="B143" s="8" t="s">
        <v>321</v>
      </c>
      <c r="C143" s="9">
        <v>13.94979</v>
      </c>
      <c r="D143" s="9">
        <v>20.530740000000002</v>
      </c>
      <c r="E143" s="9">
        <v>47.237850000000002</v>
      </c>
      <c r="F143" s="9">
        <v>48.898389999999999</v>
      </c>
      <c r="H143" s="18">
        <f t="shared" si="7"/>
        <v>9</v>
      </c>
      <c r="I143" s="20">
        <f>RANK(F143,F$2:$F$157,1)</f>
        <v>10</v>
      </c>
      <c r="K143" s="21">
        <f t="shared" si="8"/>
        <v>-1</v>
      </c>
      <c r="L143" s="22"/>
      <c r="M143" s="24">
        <f t="shared" si="9"/>
        <v>-5.2631578947368418E-2</v>
      </c>
    </row>
    <row r="144" spans="1:13" ht="13.8">
      <c r="A144" s="8" t="s">
        <v>322</v>
      </c>
      <c r="B144" s="8" t="s">
        <v>323</v>
      </c>
      <c r="C144" s="9">
        <v>250.6841</v>
      </c>
      <c r="D144" s="9">
        <v>458.68369999999999</v>
      </c>
      <c r="E144" s="9">
        <v>54.776319999999998</v>
      </c>
      <c r="F144" s="9">
        <v>51.240220000000001</v>
      </c>
      <c r="H144" s="18">
        <f t="shared" si="7"/>
        <v>93</v>
      </c>
      <c r="I144" s="20">
        <f>RANK(F144,F$2:$F$157,1)</f>
        <v>16</v>
      </c>
      <c r="K144" s="21">
        <f t="shared" si="8"/>
        <v>77</v>
      </c>
      <c r="L144" s="22"/>
      <c r="M144" s="24">
        <f t="shared" si="9"/>
        <v>0.70642201834862384</v>
      </c>
    </row>
    <row r="145" spans="1:13" ht="13.8">
      <c r="A145" s="8" t="s">
        <v>324</v>
      </c>
      <c r="B145" s="8" t="s">
        <v>325</v>
      </c>
      <c r="C145" s="9">
        <v>78.318709999999996</v>
      </c>
      <c r="D145" s="9">
        <v>141.3486</v>
      </c>
      <c r="E145" s="9">
        <v>48.67022</v>
      </c>
      <c r="F145" s="9">
        <v>47.341929999999998</v>
      </c>
      <c r="H145" s="18">
        <f t="shared" si="7"/>
        <v>61</v>
      </c>
      <c r="I145" s="20">
        <f>RANK(F145,F$2:$F$157,1)</f>
        <v>6</v>
      </c>
      <c r="K145" s="21">
        <f t="shared" si="8"/>
        <v>55</v>
      </c>
      <c r="L145" s="22"/>
      <c r="M145" s="24">
        <f t="shared" si="9"/>
        <v>0.82089552238805974</v>
      </c>
    </row>
    <row r="146" spans="1:13" ht="13.8">
      <c r="A146" s="8" t="s">
        <v>326</v>
      </c>
      <c r="B146" s="8" t="s">
        <v>327</v>
      </c>
      <c r="C146" s="9">
        <v>15.40122</v>
      </c>
      <c r="D146" s="9">
        <v>147.77590000000001</v>
      </c>
      <c r="E146" s="9">
        <v>45.204929999999997</v>
      </c>
      <c r="F146" s="9">
        <v>49.84742</v>
      </c>
      <c r="H146" s="18">
        <f t="shared" si="7"/>
        <v>64</v>
      </c>
      <c r="I146" s="20">
        <f>RANK(F146,F$2:$F$157,1)</f>
        <v>11</v>
      </c>
      <c r="K146" s="21">
        <f t="shared" si="8"/>
        <v>53</v>
      </c>
      <c r="L146" s="22"/>
      <c r="M146" s="24">
        <f t="shared" si="9"/>
        <v>0.70666666666666667</v>
      </c>
    </row>
    <row r="147" spans="1:13" ht="13.8">
      <c r="A147" s="8" t="s">
        <v>328</v>
      </c>
      <c r="B147" s="8" t="s">
        <v>329</v>
      </c>
      <c r="C147" s="9">
        <v>22.3931</v>
      </c>
      <c r="D147" s="9">
        <v>81.138630000000006</v>
      </c>
      <c r="E147" s="9">
        <v>54.145850000000003</v>
      </c>
      <c r="F147" s="9">
        <v>56.15934</v>
      </c>
      <c r="H147" s="18">
        <f t="shared" si="7"/>
        <v>51</v>
      </c>
      <c r="I147" s="20">
        <f>RANK(F147,F$2:$F$157,1)</f>
        <v>29</v>
      </c>
      <c r="K147" s="21">
        <f t="shared" si="8"/>
        <v>22</v>
      </c>
      <c r="L147" s="22"/>
      <c r="M147" s="24">
        <f t="shared" si="9"/>
        <v>0.27500000000000002</v>
      </c>
    </row>
    <row r="148" spans="1:13" ht="13.8">
      <c r="A148" s="8" t="s">
        <v>330</v>
      </c>
      <c r="B148" s="8" t="s">
        <v>331</v>
      </c>
      <c r="C148" s="9">
        <v>11.183820000000001</v>
      </c>
      <c r="D148" s="9">
        <v>13.324450000000001</v>
      </c>
      <c r="E148" s="9">
        <v>45.651899999999998</v>
      </c>
      <c r="F148" s="9">
        <v>47.557340000000003</v>
      </c>
      <c r="H148" s="18">
        <f t="shared" si="7"/>
        <v>3</v>
      </c>
      <c r="I148" s="20">
        <f>RANK(F148,F$2:$F$157,1)</f>
        <v>8</v>
      </c>
      <c r="K148" s="21">
        <f t="shared" si="8"/>
        <v>-5</v>
      </c>
      <c r="L148" s="22"/>
      <c r="M148" s="24">
        <f t="shared" si="9"/>
        <v>-0.45454545454545453</v>
      </c>
    </row>
    <row r="149" spans="1:13" ht="13.8">
      <c r="A149" s="8" t="s">
        <v>332</v>
      </c>
      <c r="B149" s="8" t="s">
        <v>333</v>
      </c>
      <c r="C149" s="9">
        <v>102.52</v>
      </c>
      <c r="D149" s="9">
        <v>263.72370000000001</v>
      </c>
      <c r="E149" s="9">
        <v>59.690950000000001</v>
      </c>
      <c r="F149" s="9">
        <v>61.381120000000003</v>
      </c>
      <c r="H149" s="18">
        <f t="shared" si="7"/>
        <v>80</v>
      </c>
      <c r="I149" s="20">
        <f>RANK(F149,F$2:$F$157,1)</f>
        <v>39</v>
      </c>
      <c r="K149" s="21">
        <f t="shared" si="8"/>
        <v>41</v>
      </c>
      <c r="L149" s="22"/>
      <c r="M149" s="24">
        <f t="shared" si="9"/>
        <v>0.34453781512605042</v>
      </c>
    </row>
    <row r="150" spans="1:13" ht="13.8">
      <c r="A150" s="8" t="s">
        <v>334</v>
      </c>
      <c r="B150" s="8" t="s">
        <v>335</v>
      </c>
      <c r="C150" s="9">
        <v>131.0155</v>
      </c>
      <c r="D150" s="9">
        <v>284.32940000000002</v>
      </c>
      <c r="E150" s="9">
        <v>57.657730000000001</v>
      </c>
      <c r="F150" s="9">
        <v>60.989339999999999</v>
      </c>
      <c r="H150" s="18">
        <f t="shared" si="7"/>
        <v>83</v>
      </c>
      <c r="I150" s="20">
        <f>RANK(F150,F$2:$F$157,1)</f>
        <v>37</v>
      </c>
      <c r="K150" s="21">
        <f t="shared" si="8"/>
        <v>46</v>
      </c>
      <c r="L150" s="22"/>
      <c r="M150" s="24">
        <f t="shared" si="9"/>
        <v>0.38333333333333336</v>
      </c>
    </row>
    <row r="151" spans="1:13" ht="13.8">
      <c r="A151" s="8" t="s">
        <v>336</v>
      </c>
      <c r="B151" s="8" t="s">
        <v>337</v>
      </c>
      <c r="C151" s="9">
        <v>1054.7149999999999</v>
      </c>
      <c r="D151" s="9">
        <v>2917.2930000000001</v>
      </c>
      <c r="E151" s="9">
        <v>78.636589999999998</v>
      </c>
      <c r="F151" s="9">
        <v>80.351219999999998</v>
      </c>
      <c r="H151" s="18">
        <f t="shared" si="7"/>
        <v>134</v>
      </c>
      <c r="I151" s="20">
        <f>RANK(F151,F$2:$F$157,1)</f>
        <v>143</v>
      </c>
      <c r="K151" s="21">
        <f t="shared" si="8"/>
        <v>-9</v>
      </c>
      <c r="L151" s="22"/>
      <c r="M151" s="24">
        <f t="shared" si="9"/>
        <v>-3.2490974729241874E-2</v>
      </c>
    </row>
    <row r="152" spans="1:13" ht="13.8">
      <c r="A152" s="8" t="s">
        <v>338</v>
      </c>
      <c r="B152" s="8" t="s">
        <v>339</v>
      </c>
      <c r="C152" s="9">
        <v>9.4297009999999997</v>
      </c>
      <c r="D152" s="9">
        <v>21.734839999999998</v>
      </c>
      <c r="E152" s="9">
        <v>59.67456</v>
      </c>
      <c r="F152" s="9">
        <v>65.835530000000006</v>
      </c>
      <c r="H152" s="18">
        <f t="shared" si="7"/>
        <v>13</v>
      </c>
      <c r="I152" s="20">
        <f>RANK(F152,F$2:$F$157,1)</f>
        <v>49</v>
      </c>
      <c r="K152" s="21">
        <f t="shared" si="8"/>
        <v>-36</v>
      </c>
      <c r="L152" s="22"/>
      <c r="M152" s="24">
        <f t="shared" si="9"/>
        <v>-0.58064516129032262</v>
      </c>
    </row>
    <row r="153" spans="1:13" ht="13.8">
      <c r="A153" s="8" t="s">
        <v>340</v>
      </c>
      <c r="B153" s="8" t="s">
        <v>341</v>
      </c>
      <c r="C153" s="9">
        <v>15.842499999999999</v>
      </c>
      <c r="D153" s="9">
        <v>50.852600000000002</v>
      </c>
      <c r="E153" s="9">
        <v>65.646360000000001</v>
      </c>
      <c r="F153" s="9">
        <v>68.075149999999994</v>
      </c>
      <c r="H153" s="18">
        <f t="shared" si="7"/>
        <v>34</v>
      </c>
      <c r="I153" s="20">
        <f>RANK(F153,F$2:$F$157,1)</f>
        <v>61</v>
      </c>
      <c r="K153" s="21">
        <f t="shared" si="8"/>
        <v>-27</v>
      </c>
      <c r="L153" s="22"/>
      <c r="M153" s="24">
        <f t="shared" si="9"/>
        <v>-0.28421052631578947</v>
      </c>
    </row>
    <row r="154" spans="1:13" ht="13.8">
      <c r="A154" s="8" t="s">
        <v>342</v>
      </c>
      <c r="B154" s="8" t="s">
        <v>343</v>
      </c>
      <c r="C154" s="9">
        <v>1728.462</v>
      </c>
      <c r="D154" s="9">
        <v>4179.6480000000001</v>
      </c>
      <c r="E154" s="9">
        <v>79.23415</v>
      </c>
      <c r="F154" s="9">
        <v>81.395120000000006</v>
      </c>
      <c r="H154" s="18">
        <f t="shared" si="7"/>
        <v>141</v>
      </c>
      <c r="I154" s="20">
        <f>RANK(F154,F$2:$F$157,1)</f>
        <v>153</v>
      </c>
      <c r="K154" s="21">
        <f t="shared" si="8"/>
        <v>-12</v>
      </c>
      <c r="L154" s="22"/>
      <c r="M154" s="24">
        <f t="shared" si="9"/>
        <v>-4.0816326530612242E-2</v>
      </c>
    </row>
    <row r="155" spans="1:13" ht="13.8">
      <c r="A155" s="8" t="s">
        <v>344</v>
      </c>
      <c r="B155" s="8" t="s">
        <v>345</v>
      </c>
      <c r="C155" s="9">
        <v>26.08306</v>
      </c>
      <c r="D155" s="9">
        <v>39.007370000000002</v>
      </c>
      <c r="E155" s="9">
        <v>58.795780000000001</v>
      </c>
      <c r="F155" s="9">
        <v>61.701169999999998</v>
      </c>
      <c r="H155" s="18">
        <f t="shared" si="7"/>
        <v>25</v>
      </c>
      <c r="I155" s="20">
        <f>RANK(F155,F$2:$F$157,1)</f>
        <v>41</v>
      </c>
      <c r="K155" s="21">
        <f t="shared" si="8"/>
        <v>-16</v>
      </c>
      <c r="L155" s="22"/>
      <c r="M155" s="24">
        <f t="shared" si="9"/>
        <v>-0.24242424242424243</v>
      </c>
    </row>
    <row r="156" spans="1:13" ht="13.8">
      <c r="A156" s="8" t="s">
        <v>346</v>
      </c>
      <c r="B156" s="8" t="s">
        <v>347</v>
      </c>
      <c r="C156" s="9">
        <v>44.420720000000003</v>
      </c>
      <c r="D156" s="9">
        <v>498.66559999999998</v>
      </c>
      <c r="E156" s="9">
        <v>72.136589999999998</v>
      </c>
      <c r="F156" s="9">
        <v>73.636589999999998</v>
      </c>
      <c r="H156" s="18">
        <f t="shared" si="7"/>
        <v>97</v>
      </c>
      <c r="I156" s="20">
        <f>RANK(F156,F$2:$F$157,1)</f>
        <v>98</v>
      </c>
      <c r="K156" s="21">
        <f t="shared" si="8"/>
        <v>-1</v>
      </c>
      <c r="L156" s="22"/>
      <c r="M156" s="24">
        <f t="shared" si="9"/>
        <v>-5.1282051282051282E-3</v>
      </c>
    </row>
    <row r="157" spans="1:13" ht="13.8">
      <c r="A157" s="8" t="s">
        <v>348</v>
      </c>
      <c r="B157" s="8" t="s">
        <v>349</v>
      </c>
      <c r="C157" s="9">
        <v>1908.7090000000001</v>
      </c>
      <c r="D157" s="9">
        <v>5242.8959999999997</v>
      </c>
      <c r="E157" s="9">
        <v>77.987809999999996</v>
      </c>
      <c r="F157" s="9">
        <v>80.251220000000004</v>
      </c>
      <c r="H157" s="18">
        <f t="shared" si="7"/>
        <v>150</v>
      </c>
      <c r="I157" s="20">
        <f>RANK(F157,F$2:$F$157,1)</f>
        <v>142</v>
      </c>
      <c r="K157" s="21">
        <f t="shared" si="8"/>
        <v>8</v>
      </c>
      <c r="L157" s="22"/>
      <c r="M157" s="24">
        <f t="shared" si="9"/>
        <v>2.7397260273972601E-2</v>
      </c>
    </row>
  </sheetData>
  <sortState xmlns:xlrd2="http://schemas.microsoft.com/office/spreadsheetml/2017/richdata2" ref="H2:I157">
    <sortCondition ref="H2:H157"/>
  </sortState>
  <mergeCells count="2">
    <mergeCell ref="O1:P1"/>
    <mergeCell ref="O2:P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0BFD-7AAA-4C00-8E5F-8B0D9CAF7CA7}">
  <dimension ref="A1"/>
  <sheetViews>
    <sheetView workbookViewId="0">
      <selection activeCell="I29" sqref="I29"/>
    </sheetView>
  </sheetViews>
  <sheetFormatPr baseColWidth="10" defaultRowHeight="13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Instructions</vt:lpstr>
      <vt:lpstr>DATA</vt:lpstr>
      <vt:lpstr>Exercice 1</vt:lpstr>
      <vt:lpstr>Exercice 3</vt:lpstr>
      <vt:lpstr>Cartographie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Raphael Kobenan</cp:lastModifiedBy>
  <cp:revision>3</cp:revision>
  <dcterms:created xsi:type="dcterms:W3CDTF">2015-11-18T15:13:39Z</dcterms:created>
  <dcterms:modified xsi:type="dcterms:W3CDTF">2025-11-18T14:14:17Z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