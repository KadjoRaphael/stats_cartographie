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4994f5a795f6aab/Doc enseignement/Université Paris1 Panthéon-Sorbonne/Année 2026-2027/TD_StatL2/"/>
    </mc:Choice>
  </mc:AlternateContent>
  <xr:revisionPtr revIDLastSave="280" documentId="11_5EBE1796AC8288B97AC1D8EE416BC480D9ACD32C" xr6:coauthVersionLast="47" xr6:coauthVersionMax="47" xr10:uidLastSave="{38B59352-1016-41D0-B79F-A7BBFFABEEFF}"/>
  <bookViews>
    <workbookView xWindow="-108" yWindow="-108" windowWidth="23256" windowHeight="12456" tabRatio="500" xr2:uid="{00000000-000D-0000-FFFF-FFFF00000000}"/>
  </bookViews>
  <sheets>
    <sheet name="Instructions" sheetId="1" r:id="rId1"/>
    <sheet name="DATA" sheetId="2" r:id="rId2"/>
    <sheet name="META" sheetId="3" r:id="rId3"/>
    <sheet name="Exercice 2" sheetId="4" r:id="rId4"/>
  </sheets>
  <definedNames>
    <definedName name="_xlchart.v1.0" hidden="1">'Exercice 2'!$AO$1</definedName>
    <definedName name="_xlchart.v1.1" hidden="1">'Exercice 2'!$AO$2:$AO$195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S203" i="4" l="1"/>
  <c r="AR203" i="4"/>
  <c r="AS202" i="4"/>
  <c r="AR202" i="4"/>
  <c r="AS201" i="4"/>
  <c r="AR201" i="4"/>
  <c r="AR196" i="4"/>
  <c r="D196" i="4"/>
  <c r="E196" i="4"/>
  <c r="F196" i="4"/>
  <c r="G196" i="4"/>
  <c r="H196" i="4"/>
  <c r="I196" i="4"/>
  <c r="J196" i="4"/>
  <c r="K196" i="4"/>
  <c r="L196" i="4"/>
  <c r="M196" i="4"/>
  <c r="N196" i="4"/>
  <c r="O196" i="4"/>
  <c r="P196" i="4"/>
  <c r="Q196" i="4"/>
  <c r="R196" i="4"/>
  <c r="S196" i="4"/>
  <c r="T196" i="4"/>
  <c r="U196" i="4"/>
  <c r="V196" i="4"/>
  <c r="W196" i="4"/>
  <c r="X196" i="4"/>
  <c r="Y196" i="4"/>
  <c r="Z196" i="4"/>
  <c r="AA196" i="4"/>
  <c r="AB196" i="4"/>
  <c r="AC196" i="4"/>
  <c r="AD196" i="4"/>
  <c r="AE196" i="4"/>
  <c r="AF196" i="4"/>
  <c r="AG196" i="4"/>
  <c r="AH196" i="4"/>
  <c r="C196" i="4"/>
  <c r="AS74" i="4"/>
  <c r="AS161" i="4"/>
  <c r="AS162" i="4"/>
  <c r="AR78" i="4"/>
  <c r="AR95" i="4"/>
  <c r="AR183" i="4"/>
  <c r="AQ2" i="4"/>
  <c r="AQ3" i="4"/>
  <c r="AQ4" i="4"/>
  <c r="AQ5" i="4"/>
  <c r="AQ6" i="4"/>
  <c r="AQ7" i="4"/>
  <c r="AQ8" i="4"/>
  <c r="AQ9" i="4"/>
  <c r="AQ10" i="4"/>
  <c r="AQ11" i="4"/>
  <c r="AQ12" i="4"/>
  <c r="AQ13" i="4"/>
  <c r="AQ14" i="4"/>
  <c r="AQ15" i="4"/>
  <c r="AQ16" i="4"/>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43" i="4"/>
  <c r="AQ44" i="4"/>
  <c r="AQ45" i="4"/>
  <c r="AQ46" i="4"/>
  <c r="AQ47" i="4"/>
  <c r="AQ48" i="4"/>
  <c r="AQ49" i="4"/>
  <c r="AQ50" i="4"/>
  <c r="AQ51" i="4"/>
  <c r="AQ52" i="4"/>
  <c r="AQ53" i="4"/>
  <c r="AQ54" i="4"/>
  <c r="AQ55" i="4"/>
  <c r="AQ56" i="4"/>
  <c r="AQ57" i="4"/>
  <c r="AQ58" i="4"/>
  <c r="AQ59" i="4"/>
  <c r="AQ60" i="4"/>
  <c r="AQ61" i="4"/>
  <c r="AQ62" i="4"/>
  <c r="AQ63" i="4"/>
  <c r="AQ64" i="4"/>
  <c r="AQ65" i="4"/>
  <c r="AQ66" i="4"/>
  <c r="AQ67" i="4"/>
  <c r="AQ68" i="4"/>
  <c r="AQ69" i="4"/>
  <c r="AQ70" i="4"/>
  <c r="AQ71" i="4"/>
  <c r="AQ72" i="4"/>
  <c r="AQ73" i="4"/>
  <c r="AQ74" i="4"/>
  <c r="AQ75" i="4"/>
  <c r="AQ76" i="4"/>
  <c r="AQ77" i="4"/>
  <c r="AQ78" i="4"/>
  <c r="AQ79" i="4"/>
  <c r="AQ80" i="4"/>
  <c r="AQ81" i="4"/>
  <c r="AQ82" i="4"/>
  <c r="AQ83" i="4"/>
  <c r="AQ84" i="4"/>
  <c r="AQ85" i="4"/>
  <c r="AQ86" i="4"/>
  <c r="AQ87" i="4"/>
  <c r="AQ88" i="4"/>
  <c r="AQ89" i="4"/>
  <c r="AQ90" i="4"/>
  <c r="AQ91" i="4"/>
  <c r="AQ92" i="4"/>
  <c r="AQ93" i="4"/>
  <c r="AQ94" i="4"/>
  <c r="AQ95" i="4"/>
  <c r="AQ96" i="4"/>
  <c r="AQ97" i="4"/>
  <c r="AQ98" i="4"/>
  <c r="AQ99" i="4"/>
  <c r="AQ100" i="4"/>
  <c r="AQ101" i="4"/>
  <c r="AQ102" i="4"/>
  <c r="AQ103" i="4"/>
  <c r="AQ104" i="4"/>
  <c r="AQ105" i="4"/>
  <c r="AQ106" i="4"/>
  <c r="AQ107" i="4"/>
  <c r="AQ108" i="4"/>
  <c r="AQ109" i="4"/>
  <c r="AQ110" i="4"/>
  <c r="AQ111" i="4"/>
  <c r="AQ112" i="4"/>
  <c r="AQ113" i="4"/>
  <c r="AQ114" i="4"/>
  <c r="AQ115" i="4"/>
  <c r="AQ116" i="4"/>
  <c r="AQ117" i="4"/>
  <c r="AQ118" i="4"/>
  <c r="AQ119" i="4"/>
  <c r="AQ120" i="4"/>
  <c r="AQ121" i="4"/>
  <c r="AQ122" i="4"/>
  <c r="AQ123" i="4"/>
  <c r="AQ124" i="4"/>
  <c r="AQ125" i="4"/>
  <c r="AQ126" i="4"/>
  <c r="AQ127" i="4"/>
  <c r="AQ128" i="4"/>
  <c r="AQ129" i="4"/>
  <c r="AQ130" i="4"/>
  <c r="AQ131" i="4"/>
  <c r="AQ132" i="4"/>
  <c r="AQ133" i="4"/>
  <c r="AQ134" i="4"/>
  <c r="AQ135" i="4"/>
  <c r="AQ136" i="4"/>
  <c r="AQ137" i="4"/>
  <c r="AQ138" i="4"/>
  <c r="AQ139" i="4"/>
  <c r="AQ140" i="4"/>
  <c r="AQ141" i="4"/>
  <c r="AQ142" i="4"/>
  <c r="AQ143" i="4"/>
  <c r="AQ144" i="4"/>
  <c r="AQ145" i="4"/>
  <c r="AQ146" i="4"/>
  <c r="AQ147" i="4"/>
  <c r="AQ148" i="4"/>
  <c r="AQ149" i="4"/>
  <c r="AQ150" i="4"/>
  <c r="AQ151" i="4"/>
  <c r="AQ152" i="4"/>
  <c r="AQ153" i="4"/>
  <c r="AQ154" i="4"/>
  <c r="AQ155" i="4"/>
  <c r="AQ156" i="4"/>
  <c r="AQ157" i="4"/>
  <c r="AQ158" i="4"/>
  <c r="AQ159" i="4"/>
  <c r="AQ160" i="4"/>
  <c r="AQ161" i="4"/>
  <c r="AQ162" i="4"/>
  <c r="AQ163" i="4"/>
  <c r="AQ164" i="4"/>
  <c r="AQ165" i="4"/>
  <c r="AQ166" i="4"/>
  <c r="AQ167" i="4"/>
  <c r="AQ168" i="4"/>
  <c r="AQ169" i="4"/>
  <c r="AQ170" i="4"/>
  <c r="AQ171" i="4"/>
  <c r="AQ172" i="4"/>
  <c r="AQ173" i="4"/>
  <c r="AQ174" i="4"/>
  <c r="AQ175" i="4"/>
  <c r="AQ176" i="4"/>
  <c r="AQ177" i="4"/>
  <c r="AQ178" i="4"/>
  <c r="AQ179" i="4"/>
  <c r="AQ180" i="4"/>
  <c r="AQ181" i="4"/>
  <c r="AQ182" i="4"/>
  <c r="AQ183" i="4"/>
  <c r="AQ184" i="4"/>
  <c r="AQ185" i="4"/>
  <c r="AQ186" i="4"/>
  <c r="AQ187" i="4"/>
  <c r="AQ188" i="4"/>
  <c r="AQ189" i="4"/>
  <c r="AQ190" i="4"/>
  <c r="AQ191" i="4"/>
  <c r="AQ192" i="4"/>
  <c r="AQ193" i="4"/>
  <c r="AQ194" i="4"/>
  <c r="AQ195" i="4"/>
  <c r="AP35" i="4"/>
  <c r="AP50" i="4"/>
  <c r="AP114" i="4"/>
  <c r="AP131" i="4"/>
  <c r="AO24" i="4"/>
  <c r="AO25" i="4"/>
  <c r="AO160" i="4"/>
  <c r="AO161" i="4"/>
  <c r="AN3" i="4"/>
  <c r="AN4" i="4"/>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S80" i="4" s="1"/>
  <c r="AN81" i="4"/>
  <c r="AN82" i="4"/>
  <c r="AN83" i="4"/>
  <c r="AN84" i="4"/>
  <c r="AN85" i="4"/>
  <c r="AN86" i="4"/>
  <c r="AN87" i="4"/>
  <c r="AN88" i="4"/>
  <c r="AN89" i="4"/>
  <c r="AN90" i="4"/>
  <c r="AN91" i="4"/>
  <c r="AN92" i="4"/>
  <c r="AN93" i="4"/>
  <c r="AN94" i="4"/>
  <c r="AN95" i="4"/>
  <c r="AN96" i="4"/>
  <c r="AN97" i="4"/>
  <c r="AN98" i="4"/>
  <c r="AN99" i="4"/>
  <c r="AN100" i="4"/>
  <c r="AN101" i="4"/>
  <c r="AN102" i="4"/>
  <c r="AN103" i="4"/>
  <c r="AN104" i="4"/>
  <c r="AN105" i="4"/>
  <c r="AN106" i="4"/>
  <c r="AN107" i="4"/>
  <c r="AN108" i="4"/>
  <c r="AN109" i="4"/>
  <c r="AN110" i="4"/>
  <c r="AN111" i="4"/>
  <c r="AN112" i="4"/>
  <c r="AN113" i="4"/>
  <c r="AN114" i="4"/>
  <c r="AN115" i="4"/>
  <c r="AN116" i="4"/>
  <c r="AN117" i="4"/>
  <c r="AN118" i="4"/>
  <c r="AN119" i="4"/>
  <c r="AN120" i="4"/>
  <c r="AN121" i="4"/>
  <c r="AN122" i="4"/>
  <c r="AN123" i="4"/>
  <c r="AN124" i="4"/>
  <c r="AN125" i="4"/>
  <c r="AN126" i="4"/>
  <c r="AN127" i="4"/>
  <c r="AN128" i="4"/>
  <c r="AN129" i="4"/>
  <c r="AN130" i="4"/>
  <c r="AN131" i="4"/>
  <c r="AN132" i="4"/>
  <c r="AN133" i="4"/>
  <c r="AN134" i="4"/>
  <c r="AN135" i="4"/>
  <c r="AN136" i="4"/>
  <c r="AN137" i="4"/>
  <c r="AN138" i="4"/>
  <c r="AN139" i="4"/>
  <c r="AN140" i="4"/>
  <c r="AN141" i="4"/>
  <c r="AN142" i="4"/>
  <c r="AN143" i="4"/>
  <c r="AN144" i="4"/>
  <c r="AN145" i="4"/>
  <c r="AN146" i="4"/>
  <c r="AN147" i="4"/>
  <c r="AN148" i="4"/>
  <c r="AN149" i="4"/>
  <c r="AN150" i="4"/>
  <c r="AN151" i="4"/>
  <c r="AN152" i="4"/>
  <c r="AN153"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1" i="4"/>
  <c r="AN182" i="4"/>
  <c r="AN183" i="4"/>
  <c r="AN184" i="4"/>
  <c r="AN185" i="4"/>
  <c r="AN186" i="4"/>
  <c r="AN187" i="4"/>
  <c r="AN188" i="4"/>
  <c r="AN189" i="4"/>
  <c r="AN190" i="4"/>
  <c r="AN191" i="4"/>
  <c r="AN192" i="4"/>
  <c r="AN193" i="4"/>
  <c r="AN194" i="4"/>
  <c r="AN195" i="4"/>
  <c r="AN2" i="4"/>
  <c r="AM3" i="4"/>
  <c r="AS3" i="4" s="1"/>
  <c r="AM4" i="4"/>
  <c r="AS4" i="4" s="1"/>
  <c r="AM5" i="4"/>
  <c r="AM6" i="4"/>
  <c r="AM7" i="4"/>
  <c r="AM8" i="4"/>
  <c r="AM9" i="4"/>
  <c r="AS9" i="4" s="1"/>
  <c r="AM10" i="4"/>
  <c r="AP10" i="4" s="1"/>
  <c r="AM11" i="4"/>
  <c r="AS11" i="4" s="1"/>
  <c r="AM12" i="4"/>
  <c r="AM13" i="4"/>
  <c r="AM14" i="4"/>
  <c r="AM15" i="4"/>
  <c r="AM16" i="4"/>
  <c r="AM17" i="4"/>
  <c r="AS17" i="4" s="1"/>
  <c r="AM18" i="4"/>
  <c r="AS18" i="4" s="1"/>
  <c r="AM19" i="4"/>
  <c r="AS19" i="4" s="1"/>
  <c r="AM20" i="4"/>
  <c r="AM21" i="4"/>
  <c r="AM22" i="4"/>
  <c r="AM23" i="4"/>
  <c r="AM24" i="4"/>
  <c r="AM25" i="4"/>
  <c r="AM26" i="4"/>
  <c r="AS26" i="4" s="1"/>
  <c r="AM27" i="4"/>
  <c r="AS27" i="4" s="1"/>
  <c r="AM28" i="4"/>
  <c r="AM29" i="4"/>
  <c r="AM30" i="4"/>
  <c r="AM31" i="4"/>
  <c r="AM32" i="4"/>
  <c r="AM33" i="4"/>
  <c r="AS33" i="4" s="1"/>
  <c r="AM34" i="4"/>
  <c r="AS34" i="4" s="1"/>
  <c r="AM35" i="4"/>
  <c r="AS35" i="4" s="1"/>
  <c r="AM36" i="4"/>
  <c r="AM37" i="4"/>
  <c r="AM38" i="4"/>
  <c r="AM39" i="4"/>
  <c r="AM40" i="4"/>
  <c r="AM41" i="4"/>
  <c r="AM42" i="4"/>
  <c r="AS42" i="4" s="1"/>
  <c r="AM43" i="4"/>
  <c r="AS43" i="4" s="1"/>
  <c r="AM44" i="4"/>
  <c r="AS44" i="4" s="1"/>
  <c r="AM45" i="4"/>
  <c r="AM46" i="4"/>
  <c r="AM47" i="4"/>
  <c r="AM48" i="4"/>
  <c r="AM49" i="4"/>
  <c r="AS49" i="4" s="1"/>
  <c r="AM50" i="4"/>
  <c r="AS50" i="4" s="1"/>
  <c r="AM51" i="4"/>
  <c r="AS51" i="4" s="1"/>
  <c r="AM52" i="4"/>
  <c r="AM53" i="4"/>
  <c r="AM54" i="4"/>
  <c r="AM55" i="4"/>
  <c r="AM56" i="4"/>
  <c r="AS56" i="4" s="1"/>
  <c r="AM57" i="4"/>
  <c r="AS57" i="4" s="1"/>
  <c r="AM58" i="4"/>
  <c r="AS58" i="4" s="1"/>
  <c r="AM59" i="4"/>
  <c r="AS59" i="4" s="1"/>
  <c r="AM60" i="4"/>
  <c r="AM61" i="4"/>
  <c r="AM62" i="4"/>
  <c r="AM63" i="4"/>
  <c r="AM64" i="4"/>
  <c r="AM65" i="4"/>
  <c r="AM66" i="4"/>
  <c r="AS66" i="4" s="1"/>
  <c r="AM67" i="4"/>
  <c r="AS67" i="4" s="1"/>
  <c r="AM68" i="4"/>
  <c r="AS68" i="4" s="1"/>
  <c r="AM69" i="4"/>
  <c r="AM70" i="4"/>
  <c r="AM71" i="4"/>
  <c r="AM72" i="4"/>
  <c r="AM73" i="4"/>
  <c r="AS73" i="4" s="1"/>
  <c r="AM74" i="4"/>
  <c r="AP74" i="4" s="1"/>
  <c r="AM75" i="4"/>
  <c r="AS75" i="4" s="1"/>
  <c r="AM76" i="4"/>
  <c r="AM77" i="4"/>
  <c r="AM78" i="4"/>
  <c r="AM79" i="4"/>
  <c r="AM80" i="4"/>
  <c r="AM81" i="4"/>
  <c r="AS81" i="4" s="1"/>
  <c r="AM82" i="4"/>
  <c r="AS82" i="4" s="1"/>
  <c r="AM83" i="4"/>
  <c r="AS83" i="4" s="1"/>
  <c r="AM84" i="4"/>
  <c r="AM85" i="4"/>
  <c r="AM86" i="4"/>
  <c r="AM87" i="4"/>
  <c r="AM88" i="4"/>
  <c r="AM89" i="4"/>
  <c r="AM90" i="4"/>
  <c r="AS90" i="4" s="1"/>
  <c r="AM91" i="4"/>
  <c r="AS91" i="4" s="1"/>
  <c r="AM92" i="4"/>
  <c r="AM93" i="4"/>
  <c r="AM94" i="4"/>
  <c r="AM95" i="4"/>
  <c r="AM96" i="4"/>
  <c r="AM97" i="4"/>
  <c r="AS97" i="4" s="1"/>
  <c r="AM98" i="4"/>
  <c r="AS98" i="4" s="1"/>
  <c r="AM99" i="4"/>
  <c r="AS99" i="4" s="1"/>
  <c r="AM100" i="4"/>
  <c r="AM101" i="4"/>
  <c r="AM102" i="4"/>
  <c r="AM103" i="4"/>
  <c r="AM104" i="4"/>
  <c r="AM105" i="4"/>
  <c r="AM106" i="4"/>
  <c r="AS106" i="4" s="1"/>
  <c r="AM107" i="4"/>
  <c r="AS107" i="4" s="1"/>
  <c r="AM108" i="4"/>
  <c r="AS108" i="4" s="1"/>
  <c r="AM109" i="4"/>
  <c r="AM110" i="4"/>
  <c r="AM111" i="4"/>
  <c r="AM112" i="4"/>
  <c r="AM113" i="4"/>
  <c r="AS113" i="4" s="1"/>
  <c r="AM114" i="4"/>
  <c r="AS114" i="4" s="1"/>
  <c r="AM115" i="4"/>
  <c r="AS115" i="4" s="1"/>
  <c r="AM116" i="4"/>
  <c r="AM117" i="4"/>
  <c r="AM118" i="4"/>
  <c r="AM119" i="4"/>
  <c r="AM120" i="4"/>
  <c r="AS120" i="4" s="1"/>
  <c r="AM121" i="4"/>
  <c r="AS121" i="4" s="1"/>
  <c r="AM122" i="4"/>
  <c r="AS122" i="4" s="1"/>
  <c r="AM123" i="4"/>
  <c r="AS123" i="4" s="1"/>
  <c r="AM124" i="4"/>
  <c r="AM125" i="4"/>
  <c r="AM126" i="4"/>
  <c r="AM127" i="4"/>
  <c r="AM128" i="4"/>
  <c r="AM129" i="4"/>
  <c r="AM130" i="4"/>
  <c r="AS130" i="4" s="1"/>
  <c r="AM131" i="4"/>
  <c r="AS131" i="4" s="1"/>
  <c r="AM132" i="4"/>
  <c r="AS132" i="4" s="1"/>
  <c r="AM133" i="4"/>
  <c r="AM134" i="4"/>
  <c r="AM135" i="4"/>
  <c r="AM136" i="4"/>
  <c r="AM137" i="4"/>
  <c r="AS137" i="4" s="1"/>
  <c r="AM138" i="4"/>
  <c r="AP138" i="4" s="1"/>
  <c r="AM139" i="4"/>
  <c r="AS139" i="4" s="1"/>
  <c r="AM140" i="4"/>
  <c r="AM141" i="4"/>
  <c r="AM142" i="4"/>
  <c r="AM143" i="4"/>
  <c r="AM144" i="4"/>
  <c r="AS144" i="4" s="1"/>
  <c r="AM145" i="4"/>
  <c r="AS145" i="4" s="1"/>
  <c r="AM146" i="4"/>
  <c r="AS146" i="4" s="1"/>
  <c r="AM147" i="4"/>
  <c r="AS147" i="4" s="1"/>
  <c r="AM148" i="4"/>
  <c r="AM149" i="4"/>
  <c r="AM150" i="4"/>
  <c r="AM151" i="4"/>
  <c r="AM152" i="4"/>
  <c r="AM153" i="4"/>
  <c r="AM154" i="4"/>
  <c r="AS154" i="4" s="1"/>
  <c r="AM155" i="4"/>
  <c r="AS155" i="4" s="1"/>
  <c r="AM156" i="4"/>
  <c r="AM157" i="4"/>
  <c r="AM158" i="4"/>
  <c r="AM159" i="4"/>
  <c r="AM160" i="4"/>
  <c r="AM161" i="4"/>
  <c r="AM162" i="4"/>
  <c r="AP162" i="4" s="1"/>
  <c r="AM163" i="4"/>
  <c r="AS163" i="4" s="1"/>
  <c r="AM164" i="4"/>
  <c r="AM165" i="4"/>
  <c r="AM166" i="4"/>
  <c r="AM167" i="4"/>
  <c r="AM168" i="4"/>
  <c r="AM169" i="4"/>
  <c r="AM170" i="4"/>
  <c r="AS170" i="4" s="1"/>
  <c r="AM171" i="4"/>
  <c r="AS171" i="4" s="1"/>
  <c r="AM172" i="4"/>
  <c r="AS172" i="4" s="1"/>
  <c r="AM173" i="4"/>
  <c r="AM174" i="4"/>
  <c r="AM175" i="4"/>
  <c r="AM176" i="4"/>
  <c r="AM177" i="4"/>
  <c r="AS177" i="4" s="1"/>
  <c r="AM178" i="4"/>
  <c r="AS178" i="4" s="1"/>
  <c r="AM179" i="4"/>
  <c r="AS179" i="4" s="1"/>
  <c r="AM180" i="4"/>
  <c r="AM181" i="4"/>
  <c r="AM182" i="4"/>
  <c r="AM183" i="4"/>
  <c r="AM184" i="4"/>
  <c r="AM185" i="4"/>
  <c r="AS185" i="4" s="1"/>
  <c r="AM186" i="4"/>
  <c r="AP186" i="4" s="1"/>
  <c r="AM187" i="4"/>
  <c r="AS187" i="4" s="1"/>
  <c r="AM188" i="4"/>
  <c r="AM189" i="4"/>
  <c r="AM190" i="4"/>
  <c r="AM191" i="4"/>
  <c r="AM192" i="4"/>
  <c r="AM193" i="4"/>
  <c r="AM194" i="4"/>
  <c r="AS194" i="4" s="1"/>
  <c r="AM195" i="4"/>
  <c r="AS195" i="4" s="1"/>
  <c r="AM2" i="4"/>
  <c r="AS2" i="4" s="1"/>
  <c r="AL2" i="4"/>
  <c r="AL3" i="4"/>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0"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6"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3" i="4"/>
  <c r="AL124" i="4"/>
  <c r="AL125" i="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K3" i="4"/>
  <c r="AK4" i="4"/>
  <c r="AK5" i="4"/>
  <c r="AK6" i="4"/>
  <c r="AO6" i="4" s="1"/>
  <c r="AK7" i="4"/>
  <c r="AO7" i="4" s="1"/>
  <c r="AK8" i="4"/>
  <c r="AO8" i="4" s="1"/>
  <c r="AK9" i="4"/>
  <c r="AK10" i="4"/>
  <c r="AK11" i="4"/>
  <c r="AK12" i="4"/>
  <c r="AK13" i="4"/>
  <c r="AK14" i="4"/>
  <c r="AO14" i="4" s="1"/>
  <c r="AK15" i="4"/>
  <c r="AO15" i="4" s="1"/>
  <c r="AK16" i="4"/>
  <c r="AK17" i="4"/>
  <c r="AK18" i="4"/>
  <c r="AK19" i="4"/>
  <c r="AK20" i="4"/>
  <c r="AK21" i="4"/>
  <c r="AK22" i="4"/>
  <c r="AO22" i="4" s="1"/>
  <c r="AK23" i="4"/>
  <c r="AO23" i="4" s="1"/>
  <c r="AK24" i="4"/>
  <c r="AR24" i="4" s="1"/>
  <c r="AK25" i="4"/>
  <c r="AR25" i="4" s="1"/>
  <c r="AK26" i="4"/>
  <c r="AK27" i="4"/>
  <c r="AK28" i="4"/>
  <c r="AK29" i="4"/>
  <c r="AK30" i="4"/>
  <c r="AO30" i="4" s="1"/>
  <c r="AK31" i="4"/>
  <c r="AO31" i="4" s="1"/>
  <c r="AK32" i="4"/>
  <c r="AO32" i="4" s="1"/>
  <c r="AK33" i="4"/>
  <c r="AK34" i="4"/>
  <c r="AK35" i="4"/>
  <c r="AK36" i="4"/>
  <c r="AK37" i="4"/>
  <c r="AK38" i="4"/>
  <c r="AO38" i="4" s="1"/>
  <c r="AK39" i="4"/>
  <c r="AO39" i="4" s="1"/>
  <c r="AK40" i="4"/>
  <c r="AK41" i="4"/>
  <c r="AK42" i="4"/>
  <c r="AK43" i="4"/>
  <c r="AK44" i="4"/>
  <c r="AK45" i="4"/>
  <c r="AK46" i="4"/>
  <c r="AO46" i="4" s="1"/>
  <c r="AK47" i="4"/>
  <c r="AO47" i="4" s="1"/>
  <c r="AK48" i="4"/>
  <c r="AR48" i="4" s="1"/>
  <c r="AK49" i="4"/>
  <c r="AK50" i="4"/>
  <c r="AK51" i="4"/>
  <c r="AK52" i="4"/>
  <c r="AK53" i="4"/>
  <c r="AK54" i="4"/>
  <c r="AO54" i="4" s="1"/>
  <c r="AK55" i="4"/>
  <c r="AO55" i="4" s="1"/>
  <c r="AK56" i="4"/>
  <c r="AK57" i="4"/>
  <c r="AK58" i="4"/>
  <c r="AK59" i="4"/>
  <c r="AK60" i="4"/>
  <c r="AK61" i="4"/>
  <c r="AK62" i="4"/>
  <c r="AO62" i="4" s="1"/>
  <c r="AK63" i="4"/>
  <c r="AO63" i="4" s="1"/>
  <c r="AK64" i="4"/>
  <c r="AK65" i="4"/>
  <c r="AK66" i="4"/>
  <c r="AK67" i="4"/>
  <c r="AK68" i="4"/>
  <c r="AK69" i="4"/>
  <c r="AK70" i="4"/>
  <c r="AO70" i="4" s="1"/>
  <c r="AK71" i="4"/>
  <c r="AO71" i="4" s="1"/>
  <c r="AK72" i="4"/>
  <c r="AO72" i="4" s="1"/>
  <c r="AK73" i="4"/>
  <c r="AK74" i="4"/>
  <c r="AK75" i="4"/>
  <c r="AK76" i="4"/>
  <c r="AK77" i="4"/>
  <c r="AK78" i="4"/>
  <c r="AO78" i="4" s="1"/>
  <c r="AK79" i="4"/>
  <c r="AO79" i="4" s="1"/>
  <c r="AK80" i="4"/>
  <c r="AK81" i="4"/>
  <c r="AK82" i="4"/>
  <c r="AK83" i="4"/>
  <c r="AK84" i="4"/>
  <c r="AK85" i="4"/>
  <c r="AK86" i="4"/>
  <c r="AO86" i="4" s="1"/>
  <c r="AK87" i="4"/>
  <c r="AO87" i="4" s="1"/>
  <c r="AK88" i="4"/>
  <c r="AR88" i="4" s="1"/>
  <c r="AK89" i="4"/>
  <c r="AO89" i="4" s="1"/>
  <c r="AK90" i="4"/>
  <c r="AK91" i="4"/>
  <c r="AK92" i="4"/>
  <c r="AK93" i="4"/>
  <c r="AK94" i="4"/>
  <c r="AO94" i="4" s="1"/>
  <c r="AK95" i="4"/>
  <c r="AO95" i="4" s="1"/>
  <c r="AK96" i="4"/>
  <c r="AR96" i="4" s="1"/>
  <c r="AK97" i="4"/>
  <c r="AO97" i="4" s="1"/>
  <c r="AK98" i="4"/>
  <c r="AK99" i="4"/>
  <c r="AK100" i="4"/>
  <c r="AK101" i="4"/>
  <c r="AK102" i="4"/>
  <c r="AO102" i="4" s="1"/>
  <c r="AK103" i="4"/>
  <c r="AR103" i="4" s="1"/>
  <c r="AK104" i="4"/>
  <c r="AR104" i="4" s="1"/>
  <c r="AK105" i="4"/>
  <c r="AR105" i="4" s="1"/>
  <c r="AK106" i="4"/>
  <c r="AK107" i="4"/>
  <c r="AK108" i="4"/>
  <c r="AK109" i="4"/>
  <c r="AK110" i="4"/>
  <c r="AR110" i="4" s="1"/>
  <c r="AK111" i="4"/>
  <c r="AR111" i="4" s="1"/>
  <c r="AK112" i="4"/>
  <c r="AR112" i="4" s="1"/>
  <c r="AK113" i="4"/>
  <c r="AR113" i="4" s="1"/>
  <c r="AK114" i="4"/>
  <c r="AK115" i="4"/>
  <c r="AK116" i="4"/>
  <c r="AK117" i="4"/>
  <c r="AK118" i="4"/>
  <c r="AO118" i="4" s="1"/>
  <c r="AK119" i="4"/>
  <c r="AO119" i="4" s="1"/>
  <c r="AK120" i="4"/>
  <c r="AR120" i="4" s="1"/>
  <c r="AK121" i="4"/>
  <c r="AR121" i="4" s="1"/>
  <c r="AK122" i="4"/>
  <c r="AK123" i="4"/>
  <c r="AK124" i="4"/>
  <c r="AK125" i="4"/>
  <c r="AK126" i="4"/>
  <c r="AR126" i="4" s="1"/>
  <c r="AK127" i="4"/>
  <c r="AR127" i="4" s="1"/>
  <c r="AK128" i="4"/>
  <c r="AR128" i="4" s="1"/>
  <c r="AK129" i="4"/>
  <c r="AR129" i="4" s="1"/>
  <c r="AK130" i="4"/>
  <c r="AK131" i="4"/>
  <c r="AK132" i="4"/>
  <c r="AK133" i="4"/>
  <c r="AK134" i="4"/>
  <c r="AR134" i="4" s="1"/>
  <c r="AK135" i="4"/>
  <c r="AR135" i="4" s="1"/>
  <c r="AK136" i="4"/>
  <c r="AO136" i="4" s="1"/>
  <c r="AK137" i="4"/>
  <c r="AR137" i="4" s="1"/>
  <c r="AK138" i="4"/>
  <c r="AK139" i="4"/>
  <c r="AK140" i="4"/>
  <c r="AK141" i="4"/>
  <c r="AK142" i="4"/>
  <c r="AO142" i="4" s="1"/>
  <c r="AK143" i="4"/>
  <c r="AO143" i="4" s="1"/>
  <c r="AK144" i="4"/>
  <c r="AR144" i="4" s="1"/>
  <c r="AK145" i="4"/>
  <c r="AR145" i="4" s="1"/>
  <c r="AK146" i="4"/>
  <c r="AK147" i="4"/>
  <c r="AK148" i="4"/>
  <c r="AK149" i="4"/>
  <c r="AK150" i="4"/>
  <c r="AR150" i="4" s="1"/>
  <c r="AK151" i="4"/>
  <c r="AR151" i="4" s="1"/>
  <c r="AK152" i="4"/>
  <c r="AR152" i="4" s="1"/>
  <c r="AK153" i="4"/>
  <c r="AR153" i="4" s="1"/>
  <c r="AK154" i="4"/>
  <c r="AK155" i="4"/>
  <c r="AK156" i="4"/>
  <c r="AK157" i="4"/>
  <c r="AK158" i="4"/>
  <c r="AO158" i="4" s="1"/>
  <c r="AK159" i="4"/>
  <c r="AO159" i="4" s="1"/>
  <c r="AK160" i="4"/>
  <c r="AR160" i="4" s="1"/>
  <c r="AK161" i="4"/>
  <c r="AR161" i="4" s="1"/>
  <c r="AK162" i="4"/>
  <c r="AK163" i="4"/>
  <c r="AK164" i="4"/>
  <c r="AK165" i="4"/>
  <c r="AK166" i="4"/>
  <c r="AO166" i="4" s="1"/>
  <c r="AK167" i="4"/>
  <c r="AR167" i="4" s="1"/>
  <c r="AK168" i="4"/>
  <c r="AR168" i="4" s="1"/>
  <c r="AK169" i="4"/>
  <c r="AR169" i="4" s="1"/>
  <c r="AK170" i="4"/>
  <c r="AK171" i="4"/>
  <c r="AK172" i="4"/>
  <c r="AK173" i="4"/>
  <c r="AK174" i="4"/>
  <c r="AR174" i="4" s="1"/>
  <c r="AK175" i="4"/>
  <c r="AR175" i="4" s="1"/>
  <c r="AK176" i="4"/>
  <c r="AR176" i="4" s="1"/>
  <c r="AK177" i="4"/>
  <c r="AR177" i="4" s="1"/>
  <c r="AK178" i="4"/>
  <c r="AK179" i="4"/>
  <c r="AK180" i="4"/>
  <c r="AK181" i="4"/>
  <c r="AK182" i="4"/>
  <c r="AO182" i="4" s="1"/>
  <c r="AK183" i="4"/>
  <c r="AO183" i="4" s="1"/>
  <c r="AK184" i="4"/>
  <c r="AR184" i="4" s="1"/>
  <c r="AK185" i="4"/>
  <c r="AR185" i="4" s="1"/>
  <c r="AK186" i="4"/>
  <c r="AK187" i="4"/>
  <c r="AK188" i="4"/>
  <c r="AK189" i="4"/>
  <c r="AK190" i="4"/>
  <c r="AR190" i="4" s="1"/>
  <c r="AK191" i="4"/>
  <c r="AR191" i="4" s="1"/>
  <c r="AK192" i="4"/>
  <c r="AR192" i="4" s="1"/>
  <c r="AK193" i="4"/>
  <c r="AR193" i="4" s="1"/>
  <c r="AK194" i="4"/>
  <c r="AR194" i="4" s="1"/>
  <c r="AK195" i="4"/>
  <c r="AK2" i="4"/>
  <c r="AO129" i="4" l="1"/>
  <c r="AP2" i="4"/>
  <c r="AP99" i="4"/>
  <c r="AP27" i="4"/>
  <c r="AR182" i="4"/>
  <c r="AR55" i="4"/>
  <c r="AO66" i="4"/>
  <c r="AO128" i="4"/>
  <c r="AP195" i="4"/>
  <c r="AP91" i="4"/>
  <c r="AP26" i="4"/>
  <c r="AR159" i="4"/>
  <c r="AR54" i="4"/>
  <c r="AS138" i="4"/>
  <c r="AO42" i="4"/>
  <c r="AO121" i="4"/>
  <c r="AP178" i="4"/>
  <c r="AP90" i="4"/>
  <c r="AP11" i="4"/>
  <c r="AR142" i="4"/>
  <c r="AR31" i="4"/>
  <c r="AP155" i="4"/>
  <c r="AP75" i="4"/>
  <c r="AP4" i="4"/>
  <c r="AR136" i="4"/>
  <c r="AR14" i="4"/>
  <c r="AP192" i="4"/>
  <c r="AP184" i="4"/>
  <c r="AP176" i="4"/>
  <c r="AP168" i="4"/>
  <c r="AP160" i="4"/>
  <c r="AP152" i="4"/>
  <c r="AP144" i="4"/>
  <c r="AP136" i="4"/>
  <c r="AP128" i="4"/>
  <c r="AP120" i="4"/>
  <c r="AP112" i="4"/>
  <c r="AP104" i="4"/>
  <c r="AP96" i="4"/>
  <c r="AP88" i="4"/>
  <c r="AP80" i="4"/>
  <c r="AP72" i="4"/>
  <c r="AP64" i="4"/>
  <c r="AP56" i="4"/>
  <c r="AP48" i="4"/>
  <c r="AP40" i="4"/>
  <c r="AP32" i="4"/>
  <c r="AP24" i="4"/>
  <c r="AP16" i="4"/>
  <c r="AP8" i="4"/>
  <c r="AP122" i="4"/>
  <c r="AP98" i="4"/>
  <c r="AP58" i="4"/>
  <c r="AP34" i="4"/>
  <c r="AO193" i="4"/>
  <c r="AO96" i="4"/>
  <c r="AP154" i="4"/>
  <c r="AP68" i="4"/>
  <c r="AP3" i="4"/>
  <c r="AR119" i="4"/>
  <c r="AS16" i="4"/>
  <c r="AO192" i="4"/>
  <c r="AP132" i="4"/>
  <c r="AP67" i="4"/>
  <c r="AR118" i="4"/>
  <c r="AS184" i="4"/>
  <c r="AS10" i="4"/>
  <c r="AR188" i="4"/>
  <c r="AO188" i="4"/>
  <c r="AR140" i="4"/>
  <c r="AO140" i="4"/>
  <c r="AR92" i="4"/>
  <c r="AO92" i="4"/>
  <c r="AO36" i="4"/>
  <c r="AR36" i="4"/>
  <c r="AR163" i="4"/>
  <c r="AO163" i="4"/>
  <c r="AR91" i="4"/>
  <c r="AO91" i="4"/>
  <c r="AO43" i="4"/>
  <c r="AR43" i="4"/>
  <c r="AO3" i="4"/>
  <c r="AR3" i="4"/>
  <c r="AO185" i="4"/>
  <c r="AO153" i="4"/>
  <c r="AR32" i="4"/>
  <c r="AR156" i="4"/>
  <c r="AO156" i="4"/>
  <c r="AR108" i="4"/>
  <c r="AO108" i="4"/>
  <c r="AO68" i="4"/>
  <c r="AR68" i="4"/>
  <c r="AO20" i="4"/>
  <c r="AR20" i="4"/>
  <c r="AR171" i="4"/>
  <c r="AO171" i="4"/>
  <c r="AR131" i="4"/>
  <c r="AO131" i="4"/>
  <c r="AR107" i="4"/>
  <c r="AO107" i="4"/>
  <c r="AO59" i="4"/>
  <c r="AR59" i="4"/>
  <c r="AO35" i="4"/>
  <c r="AR35" i="4"/>
  <c r="AR97" i="4"/>
  <c r="AR89" i="4"/>
  <c r="AR81" i="4"/>
  <c r="AO81" i="4"/>
  <c r="AR73" i="4"/>
  <c r="AO73" i="4"/>
  <c r="AR65" i="4"/>
  <c r="AR57" i="4"/>
  <c r="AO57" i="4"/>
  <c r="AR49" i="4"/>
  <c r="AO49" i="4"/>
  <c r="AR41" i="4"/>
  <c r="AO41" i="4"/>
  <c r="AR33" i="4"/>
  <c r="AO33" i="4"/>
  <c r="AR17" i="4"/>
  <c r="AO17" i="4"/>
  <c r="AR9" i="4"/>
  <c r="AO9" i="4"/>
  <c r="AP189" i="4"/>
  <c r="AS189" i="4"/>
  <c r="AP181" i="4"/>
  <c r="AS181" i="4"/>
  <c r="AP173" i="4"/>
  <c r="AS173" i="4"/>
  <c r="AP165" i="4"/>
  <c r="AS165" i="4"/>
  <c r="AP157" i="4"/>
  <c r="AS157" i="4"/>
  <c r="AP149" i="4"/>
  <c r="AS149" i="4"/>
  <c r="AP141" i="4"/>
  <c r="AS141" i="4"/>
  <c r="AP133" i="4"/>
  <c r="AS133" i="4"/>
  <c r="AP125" i="4"/>
  <c r="AS125" i="4"/>
  <c r="AP117" i="4"/>
  <c r="AS117" i="4"/>
  <c r="AP109" i="4"/>
  <c r="AS109" i="4"/>
  <c r="AP101" i="4"/>
  <c r="AS101" i="4"/>
  <c r="AP93" i="4"/>
  <c r="AS93" i="4"/>
  <c r="AP85" i="4"/>
  <c r="AS85" i="4"/>
  <c r="AP77" i="4"/>
  <c r="AS77" i="4"/>
  <c r="AP69" i="4"/>
  <c r="AS69" i="4"/>
  <c r="AP61" i="4"/>
  <c r="AS61" i="4"/>
  <c r="AP53" i="4"/>
  <c r="AS53" i="4"/>
  <c r="AP45" i="4"/>
  <c r="AS45" i="4"/>
  <c r="AP37" i="4"/>
  <c r="AS37" i="4"/>
  <c r="AP29" i="4"/>
  <c r="AS29" i="4"/>
  <c r="AP21" i="4"/>
  <c r="AS21" i="4"/>
  <c r="AP13" i="4"/>
  <c r="AS13" i="4"/>
  <c r="AP5" i="4"/>
  <c r="AS5" i="4"/>
  <c r="AO184" i="4"/>
  <c r="AO152" i="4"/>
  <c r="AO120" i="4"/>
  <c r="AO88" i="4"/>
  <c r="AP108" i="4"/>
  <c r="AP44" i="4"/>
  <c r="AR180" i="4"/>
  <c r="AO180" i="4"/>
  <c r="AR148" i="4"/>
  <c r="AO148" i="4"/>
  <c r="AR100" i="4"/>
  <c r="AO100" i="4"/>
  <c r="AO52" i="4"/>
  <c r="AR52" i="4"/>
  <c r="AO4" i="4"/>
  <c r="AR4" i="4"/>
  <c r="AR187" i="4"/>
  <c r="AO187" i="4"/>
  <c r="AR123" i="4"/>
  <c r="AO123" i="4"/>
  <c r="AO83" i="4"/>
  <c r="AR83" i="4"/>
  <c r="AO11" i="4"/>
  <c r="AR11" i="4"/>
  <c r="AR80" i="4"/>
  <c r="AO80" i="4"/>
  <c r="AR64" i="4"/>
  <c r="AO64" i="4"/>
  <c r="AO56" i="4"/>
  <c r="AR56" i="4"/>
  <c r="AR40" i="4"/>
  <c r="AO40" i="4"/>
  <c r="AR16" i="4"/>
  <c r="AO16" i="4"/>
  <c r="AS188" i="4"/>
  <c r="AP188" i="4"/>
  <c r="AS180" i="4"/>
  <c r="AP180" i="4"/>
  <c r="AS164" i="4"/>
  <c r="AP164" i="4"/>
  <c r="AS156" i="4"/>
  <c r="AP156" i="4"/>
  <c r="AS148" i="4"/>
  <c r="AP148" i="4"/>
  <c r="AS140" i="4"/>
  <c r="AP140" i="4"/>
  <c r="AS124" i="4"/>
  <c r="AP124" i="4"/>
  <c r="AS116" i="4"/>
  <c r="AP116" i="4"/>
  <c r="AS100" i="4"/>
  <c r="AP100" i="4"/>
  <c r="AS92" i="4"/>
  <c r="AP92" i="4"/>
  <c r="AS84" i="4"/>
  <c r="AP84" i="4"/>
  <c r="AS76" i="4"/>
  <c r="AP76" i="4"/>
  <c r="AS60" i="4"/>
  <c r="AP60" i="4"/>
  <c r="AS52" i="4"/>
  <c r="AP52" i="4"/>
  <c r="AS36" i="4"/>
  <c r="AP36" i="4"/>
  <c r="AS28" i="4"/>
  <c r="AP28" i="4"/>
  <c r="AS20" i="4"/>
  <c r="AP20" i="4"/>
  <c r="AS12" i="4"/>
  <c r="AP12" i="4"/>
  <c r="AO177" i="4"/>
  <c r="AO145" i="4"/>
  <c r="AO113" i="4"/>
  <c r="AR172" i="4"/>
  <c r="AO172" i="4"/>
  <c r="AR124" i="4"/>
  <c r="AO124" i="4"/>
  <c r="AO84" i="4"/>
  <c r="AR84" i="4"/>
  <c r="AO44" i="4"/>
  <c r="AR44" i="4"/>
  <c r="AR195" i="4"/>
  <c r="AO195" i="4"/>
  <c r="AR155" i="4"/>
  <c r="AO155" i="4"/>
  <c r="AR99" i="4"/>
  <c r="AO99" i="4"/>
  <c r="AO51" i="4"/>
  <c r="AR51" i="4"/>
  <c r="AO19" i="4"/>
  <c r="AR19" i="4"/>
  <c r="AO176" i="4"/>
  <c r="AO144" i="4"/>
  <c r="AO112" i="4"/>
  <c r="AO65" i="4"/>
  <c r="AP172" i="4"/>
  <c r="AR8" i="4"/>
  <c r="AR2" i="4"/>
  <c r="AO2" i="4"/>
  <c r="AR132" i="4"/>
  <c r="AO132" i="4"/>
  <c r="AO60" i="4"/>
  <c r="AR60" i="4"/>
  <c r="AO12" i="4"/>
  <c r="AR12" i="4"/>
  <c r="AR147" i="4"/>
  <c r="AO147" i="4"/>
  <c r="AO67" i="4"/>
  <c r="AR67" i="4"/>
  <c r="AO169" i="4"/>
  <c r="AO137" i="4"/>
  <c r="AO105" i="4"/>
  <c r="AO48" i="4"/>
  <c r="AR164" i="4"/>
  <c r="AO164" i="4"/>
  <c r="AR116" i="4"/>
  <c r="AO116" i="4"/>
  <c r="AO76" i="4"/>
  <c r="AR76" i="4"/>
  <c r="AO28" i="4"/>
  <c r="AR28" i="4"/>
  <c r="AR179" i="4"/>
  <c r="AO179" i="4"/>
  <c r="AR139" i="4"/>
  <c r="AO139" i="4"/>
  <c r="AR115" i="4"/>
  <c r="AO115" i="4"/>
  <c r="AO75" i="4"/>
  <c r="AR75" i="4"/>
  <c r="AO27" i="4"/>
  <c r="AR27" i="4"/>
  <c r="AR189" i="4"/>
  <c r="AO189" i="4"/>
  <c r="AO168" i="4"/>
  <c r="AO104" i="4"/>
  <c r="AR72" i="4"/>
  <c r="AR186" i="4"/>
  <c r="AR178" i="4"/>
  <c r="AR170" i="4"/>
  <c r="AR162" i="4"/>
  <c r="AR154" i="4"/>
  <c r="AR146" i="4"/>
  <c r="AR138" i="4"/>
  <c r="AR130" i="4"/>
  <c r="AR122" i="4"/>
  <c r="AR114" i="4"/>
  <c r="AR106" i="4"/>
  <c r="AR98" i="4"/>
  <c r="AR90" i="4"/>
  <c r="AR82" i="4"/>
  <c r="AR74" i="4"/>
  <c r="AR66" i="4"/>
  <c r="AR58" i="4"/>
  <c r="AR50" i="4"/>
  <c r="AR42" i="4"/>
  <c r="AR34" i="4"/>
  <c r="AR26" i="4"/>
  <c r="AR18" i="4"/>
  <c r="AR10" i="4"/>
  <c r="AP190" i="4"/>
  <c r="AS190" i="4"/>
  <c r="AP182" i="4"/>
  <c r="AS182" i="4"/>
  <c r="AP174" i="4"/>
  <c r="AS174" i="4"/>
  <c r="AP166" i="4"/>
  <c r="AS166" i="4"/>
  <c r="AP158" i="4"/>
  <c r="AS158" i="4"/>
  <c r="AP150" i="4"/>
  <c r="AS150" i="4"/>
  <c r="AP142" i="4"/>
  <c r="AS142" i="4"/>
  <c r="AP134" i="4"/>
  <c r="AS134" i="4"/>
  <c r="AP126" i="4"/>
  <c r="AS126" i="4"/>
  <c r="AP118" i="4"/>
  <c r="AS118" i="4"/>
  <c r="AP110" i="4"/>
  <c r="AS110" i="4"/>
  <c r="AP102" i="4"/>
  <c r="AS102" i="4"/>
  <c r="AP94" i="4"/>
  <c r="AS94" i="4"/>
  <c r="AP86" i="4"/>
  <c r="AS86" i="4"/>
  <c r="AP78" i="4"/>
  <c r="AS78" i="4"/>
  <c r="AP70" i="4"/>
  <c r="AS70" i="4"/>
  <c r="AP62" i="4"/>
  <c r="AS62" i="4"/>
  <c r="AP54" i="4"/>
  <c r="AS54" i="4"/>
  <c r="AP46" i="4"/>
  <c r="AS46" i="4"/>
  <c r="AP38" i="4"/>
  <c r="AS38" i="4"/>
  <c r="AP30" i="4"/>
  <c r="AS30" i="4"/>
  <c r="AP22" i="4"/>
  <c r="AS22" i="4"/>
  <c r="AP14" i="4"/>
  <c r="AS14" i="4"/>
  <c r="AP6" i="4"/>
  <c r="AS6" i="4"/>
  <c r="AO194" i="4"/>
  <c r="AO186" i="4"/>
  <c r="AO178" i="4"/>
  <c r="AO170" i="4"/>
  <c r="AO162" i="4"/>
  <c r="AO154" i="4"/>
  <c r="AO146" i="4"/>
  <c r="AO138" i="4"/>
  <c r="AO130" i="4"/>
  <c r="AO122" i="4"/>
  <c r="AO114" i="4"/>
  <c r="AO106" i="4"/>
  <c r="AO98" i="4"/>
  <c r="AO90" i="4"/>
  <c r="AO26" i="4"/>
  <c r="AP179" i="4"/>
  <c r="AP115" i="4"/>
  <c r="AP51" i="4"/>
  <c r="AR166" i="4"/>
  <c r="AR143" i="4"/>
  <c r="AR102" i="4"/>
  <c r="AR79" i="4"/>
  <c r="AR38" i="4"/>
  <c r="AR15" i="4"/>
  <c r="AS186" i="4"/>
  <c r="AS168" i="4"/>
  <c r="AS104" i="4"/>
  <c r="AS40" i="4"/>
  <c r="AO191" i="4"/>
  <c r="AO175" i="4"/>
  <c r="AO167" i="4"/>
  <c r="AO151" i="4"/>
  <c r="AO135" i="4"/>
  <c r="AO127" i="4"/>
  <c r="AO111" i="4"/>
  <c r="AO103" i="4"/>
  <c r="AO82" i="4"/>
  <c r="AO18" i="4"/>
  <c r="AP194" i="4"/>
  <c r="AP171" i="4"/>
  <c r="AP130" i="4"/>
  <c r="AP107" i="4"/>
  <c r="AP66" i="4"/>
  <c r="AP43" i="4"/>
  <c r="AR158" i="4"/>
  <c r="AR94" i="4"/>
  <c r="AR71" i="4"/>
  <c r="AR30" i="4"/>
  <c r="AR7" i="4"/>
  <c r="AS160" i="4"/>
  <c r="AS96" i="4"/>
  <c r="AS32" i="4"/>
  <c r="AO190" i="4"/>
  <c r="AO174" i="4"/>
  <c r="AO150" i="4"/>
  <c r="AO134" i="4"/>
  <c r="AO126" i="4"/>
  <c r="AO110" i="4"/>
  <c r="AO58" i="4"/>
  <c r="AP170" i="4"/>
  <c r="AP147" i="4"/>
  <c r="AP106" i="4"/>
  <c r="AP83" i="4"/>
  <c r="AP42" i="4"/>
  <c r="AP19" i="4"/>
  <c r="AR70" i="4"/>
  <c r="AR47" i="4"/>
  <c r="AR6" i="4"/>
  <c r="AS136" i="4"/>
  <c r="AS72" i="4"/>
  <c r="AS8" i="4"/>
  <c r="AR181" i="4"/>
  <c r="AR173" i="4"/>
  <c r="AR165" i="4"/>
  <c r="AR157" i="4"/>
  <c r="AR149" i="4"/>
  <c r="AR141" i="4"/>
  <c r="AR133" i="4"/>
  <c r="AR125" i="4"/>
  <c r="AR117" i="4"/>
  <c r="AR109" i="4"/>
  <c r="AR101" i="4"/>
  <c r="AR93" i="4"/>
  <c r="AO85" i="4"/>
  <c r="AR85" i="4"/>
  <c r="AO77" i="4"/>
  <c r="AR77" i="4"/>
  <c r="AO69" i="4"/>
  <c r="AR69" i="4"/>
  <c r="AO61" i="4"/>
  <c r="AR61" i="4"/>
  <c r="AO53" i="4"/>
  <c r="AR53" i="4"/>
  <c r="AO45" i="4"/>
  <c r="AR45" i="4"/>
  <c r="AO37" i="4"/>
  <c r="AR37" i="4"/>
  <c r="AO29" i="4"/>
  <c r="AR29" i="4"/>
  <c r="AO21" i="4"/>
  <c r="AR21" i="4"/>
  <c r="AO13" i="4"/>
  <c r="AR13" i="4"/>
  <c r="AO5" i="4"/>
  <c r="AR5" i="4"/>
  <c r="AP193" i="4"/>
  <c r="AP185" i="4"/>
  <c r="AP177" i="4"/>
  <c r="AP169" i="4"/>
  <c r="AP161" i="4"/>
  <c r="AP153" i="4"/>
  <c r="AP145" i="4"/>
  <c r="AP137" i="4"/>
  <c r="AP129" i="4"/>
  <c r="AP121" i="4"/>
  <c r="AP113" i="4"/>
  <c r="AP105" i="4"/>
  <c r="AP97" i="4"/>
  <c r="AP89" i="4"/>
  <c r="AP81" i="4"/>
  <c r="AP73" i="4"/>
  <c r="AP65" i="4"/>
  <c r="AP57" i="4"/>
  <c r="AP49" i="4"/>
  <c r="AP41" i="4"/>
  <c r="AP33" i="4"/>
  <c r="AP25" i="4"/>
  <c r="AP17" i="4"/>
  <c r="AP9" i="4"/>
  <c r="AO181" i="4"/>
  <c r="AO173" i="4"/>
  <c r="AO165" i="4"/>
  <c r="AO157" i="4"/>
  <c r="AO149" i="4"/>
  <c r="AO141" i="4"/>
  <c r="AO133" i="4"/>
  <c r="AO125" i="4"/>
  <c r="AO117" i="4"/>
  <c r="AO109" i="4"/>
  <c r="AO101" i="4"/>
  <c r="AO93" i="4"/>
  <c r="AO34" i="4"/>
  <c r="AP187" i="4"/>
  <c r="AP146" i="4"/>
  <c r="AP123" i="4"/>
  <c r="AP82" i="4"/>
  <c r="AP59" i="4"/>
  <c r="AP18" i="4"/>
  <c r="AR87" i="4"/>
  <c r="AR46" i="4"/>
  <c r="AR23" i="4"/>
  <c r="AS176" i="4"/>
  <c r="AS153" i="4"/>
  <c r="AS112" i="4"/>
  <c r="AS89" i="4"/>
  <c r="AS48" i="4"/>
  <c r="AS25" i="4"/>
  <c r="AO74" i="4"/>
  <c r="AO10" i="4"/>
  <c r="AP163" i="4"/>
  <c r="AR86" i="4"/>
  <c r="AR63" i="4"/>
  <c r="AR22" i="4"/>
  <c r="AS193" i="4"/>
  <c r="AS152" i="4"/>
  <c r="AS129" i="4"/>
  <c r="AS88" i="4"/>
  <c r="AS65" i="4"/>
  <c r="AS24" i="4"/>
  <c r="AP191" i="4"/>
  <c r="AS191" i="4"/>
  <c r="AP183" i="4"/>
  <c r="AS183" i="4"/>
  <c r="AP175" i="4"/>
  <c r="AS175" i="4"/>
  <c r="AP167" i="4"/>
  <c r="AS167" i="4"/>
  <c r="AP159" i="4"/>
  <c r="AS159" i="4"/>
  <c r="AP151" i="4"/>
  <c r="AS151" i="4"/>
  <c r="AP143" i="4"/>
  <c r="AS143" i="4"/>
  <c r="AP135" i="4"/>
  <c r="AS135" i="4"/>
  <c r="AP127" i="4"/>
  <c r="AS127" i="4"/>
  <c r="AP119" i="4"/>
  <c r="AS119" i="4"/>
  <c r="AP111" i="4"/>
  <c r="AS111" i="4"/>
  <c r="AP103" i="4"/>
  <c r="AS103" i="4"/>
  <c r="AP95" i="4"/>
  <c r="AS95" i="4"/>
  <c r="AP87" i="4"/>
  <c r="AS87" i="4"/>
  <c r="AP79" i="4"/>
  <c r="AS79" i="4"/>
  <c r="AP71" i="4"/>
  <c r="AS71" i="4"/>
  <c r="AP63" i="4"/>
  <c r="AS63" i="4"/>
  <c r="AP55" i="4"/>
  <c r="AS55" i="4"/>
  <c r="AP47" i="4"/>
  <c r="AS47" i="4"/>
  <c r="AP39" i="4"/>
  <c r="AS39" i="4"/>
  <c r="AP31" i="4"/>
  <c r="AS31" i="4"/>
  <c r="AP23" i="4"/>
  <c r="AS23" i="4"/>
  <c r="AP15" i="4"/>
  <c r="AS15" i="4"/>
  <c r="AP7" i="4"/>
  <c r="AS7" i="4"/>
  <c r="AO50" i="4"/>
  <c r="AP139" i="4"/>
  <c r="AR62" i="4"/>
  <c r="AR39" i="4"/>
  <c r="AS192" i="4"/>
  <c r="AS169" i="4"/>
  <c r="AS128" i="4"/>
  <c r="AS105" i="4"/>
  <c r="AS64" i="4"/>
  <c r="AS41" i="4"/>
  <c r="AS199" i="4" l="1"/>
  <c r="AR199" i="4"/>
  <c r="AR198" i="4"/>
  <c r="AR197" i="4"/>
  <c r="AS198" i="4"/>
  <c r="AS200" i="4" s="1"/>
  <c r="AS196" i="4"/>
  <c r="AS197" i="4"/>
  <c r="AR200" i="4" l="1"/>
</calcChain>
</file>

<file path=xl/sharedStrings.xml><?xml version="1.0" encoding="utf-8"?>
<sst xmlns="http://schemas.openxmlformats.org/spreadsheetml/2006/main" count="1758" uniqueCount="535">
  <si>
    <t>TD 1 : Types de variables et rappels de statistique univariée</t>
  </si>
  <si>
    <t>Statistique L2S1</t>
  </si>
  <si>
    <t>Exercice 1 - Types de variables</t>
  </si>
  <si>
    <t>Caractériser le tableau de données (feuille DATA) :</t>
  </si>
  <si>
    <t>1.1 Quelle est l'unité d'enregistrement (ou individu, ou cas) ?</t>
  </si>
  <si>
    <t>1.2 Quel est l'ensemble (ou population) considérée ?</t>
  </si>
  <si>
    <t>1.3 Renseigner le type des variables</t>
  </si>
  <si>
    <t>Quanti / Quali (Quantitatif / Qualitatif)</t>
  </si>
  <si>
    <t>N / O (Nominal / Ordinal)</t>
  </si>
  <si>
    <t>C / D (Continu / Discret)</t>
  </si>
  <si>
    <t>S / R (Stock / Rapport)</t>
  </si>
  <si>
    <t>Quanti / Quali</t>
  </si>
  <si>
    <t>N / O</t>
  </si>
  <si>
    <t>C / D</t>
  </si>
  <si>
    <t>S / R</t>
  </si>
  <si>
    <t>INSEE_COM</t>
  </si>
  <si>
    <t>C1_I1_S1</t>
  </si>
  <si>
    <t>C1_I1_S2</t>
  </si>
  <si>
    <t>Nature_EPCI</t>
  </si>
  <si>
    <t>TAAV2017</t>
  </si>
  <si>
    <t>Exercice 2 - Appliquer des fonctions</t>
  </si>
  <si>
    <t>2.1 Calculer pour chaque commune le total des immigrés Homme et le total des immigrés Femme (total en ligne)</t>
  </si>
  <si>
    <t>2.2 Calculer pour chaque commune le total des non immigrés Homme et le total des non immigrés Femme (total en ligne)</t>
  </si>
  <si>
    <t>2.3 Calculer pour chaque commune le sex ratio des immigrés et le sex ratio des non immigrés (total en ligne)</t>
  </si>
  <si>
    <t>2.4 Calculer le total des variables dans l’espace d’étude (total en colonne)</t>
  </si>
  <si>
    <t>Exercice 3 - Centralité, dispersion, forme des distributions</t>
  </si>
  <si>
    <t>3.1 Calculer la population totale des actifs de chaque commune</t>
  </si>
  <si>
    <t>3.2 Calculer la moyenne et la médiane de cette variable de façon manuelle (sans utiliser les fonctions dédiées)</t>
  </si>
  <si>
    <t>- faire la différence entre algorithme et propriété de ces deux mesures</t>
  </si>
  <si>
    <t>- que dire sur la répartition de la population communale à partir de ces deux mesures ?</t>
  </si>
  <si>
    <t>3.3 Calculer les valeurs suivantes pour le total de population immigrée et pour le total de population non immigrée</t>
  </si>
  <si>
    <t>Immigré</t>
  </si>
  <si>
    <t>Non immigré</t>
  </si>
  <si>
    <t>Moyenne</t>
  </si>
  <si>
    <t>Médiane</t>
  </si>
  <si>
    <t>Minimum</t>
  </si>
  <si>
    <t>Maximum</t>
  </si>
  <si>
    <t>Etendue</t>
  </si>
  <si>
    <t>3.4 Constuire l'histogramme de la variable de sex ratio des immigrés</t>
  </si>
  <si>
    <t>3.5 Construire le diagramme en bâtons avec les communes en abscisse (une barre par commune) et le sex ratio des immigrés en ordonnée</t>
  </si>
  <si>
    <t>- quelle est la différence entre l'histogramme fait précédemment et le diagramme en bâtons ?</t>
  </si>
  <si>
    <t>3.6 Calculer les mesures de dispersion pour les variables de total de population immigrée et de total de population non immigrée</t>
  </si>
  <si>
    <t>Variance (calcul détaillé)</t>
  </si>
  <si>
    <t>Écart-type (calcul détaillé)</t>
  </si>
  <si>
    <t>Variance (fonction)</t>
  </si>
  <si>
    <t>Écart-type (fonction)</t>
  </si>
  <si>
    <t>Coefficient de variation</t>
  </si>
  <si>
    <t>3.7 Comment interpréter ces résultats ? Quel est l’apport du coefficient de variation par rapport à l’écart-type ?</t>
  </si>
  <si>
    <t>Exercice 4 - Forme de distribution et cartographie</t>
  </si>
  <si>
    <t>4.1 Faire une copie de la feuille de données, nettoyer le tableau pour ne conserver que les variables (pas de calculs isolés, pas de sommes en bout de colonne)</t>
  </si>
  <si>
    <t>4.2 Exporter le tableau en format CSV</t>
  </si>
  <si>
    <t>4.3 Représenter les variables de votre choix avec le logiciel Magrit à la fois en absolu (variables de stock) et en relatif (variables de rapport)</t>
  </si>
  <si>
    <t xml:space="preserve">http://magrit.cnrs.fr </t>
  </si>
  <si>
    <t>CODGEO</t>
  </si>
  <si>
    <t>LIBGEO</t>
  </si>
  <si>
    <t>C1_I2_S1</t>
  </si>
  <si>
    <t>C1_I2_S2</t>
  </si>
  <si>
    <t>C2_I1_S1</t>
  </si>
  <si>
    <t>C2_I1_S2</t>
  </si>
  <si>
    <t>C2_I2_S1</t>
  </si>
  <si>
    <t>C2_I2_S2</t>
  </si>
  <si>
    <t>C3_I1_S1</t>
  </si>
  <si>
    <t>C3_I1_S2</t>
  </si>
  <si>
    <t>C3_I2_S1</t>
  </si>
  <si>
    <t>C3_I2_S2</t>
  </si>
  <si>
    <t>C4_I1_S1</t>
  </si>
  <si>
    <t>C4_I1_S2</t>
  </si>
  <si>
    <t>C4_I2_S1</t>
  </si>
  <si>
    <t>C4_I2_S2</t>
  </si>
  <si>
    <t>C5_I1_S1</t>
  </si>
  <si>
    <t>C5_I1_S2</t>
  </si>
  <si>
    <t>C5_I2_S1</t>
  </si>
  <si>
    <t>C5_I2_S2</t>
  </si>
  <si>
    <t>C6_I1_S1</t>
  </si>
  <si>
    <t>C6_I1_S2</t>
  </si>
  <si>
    <t>C6_I2_S1</t>
  </si>
  <si>
    <t>C6_I2_S2</t>
  </si>
  <si>
    <t>C7_I1_S1</t>
  </si>
  <si>
    <t>C7_I1_S2</t>
  </si>
  <si>
    <t>C7_I2_S1</t>
  </si>
  <si>
    <t>C7_I2_S2</t>
  </si>
  <si>
    <t>C8_I1_S1</t>
  </si>
  <si>
    <t>C8_I1_S2</t>
  </si>
  <si>
    <t>C8_I2_S1</t>
  </si>
  <si>
    <t>C8_I2_S2</t>
  </si>
  <si>
    <t>NATURE_EPCI</t>
  </si>
  <si>
    <t>91001</t>
  </si>
  <si>
    <t>Abbéville-la-Rivière</t>
  </si>
  <si>
    <t>CA</t>
  </si>
  <si>
    <t>5</t>
  </si>
  <si>
    <t>91016</t>
  </si>
  <si>
    <t>Angerville</t>
  </si>
  <si>
    <t>91017</t>
  </si>
  <si>
    <t>Angervilliers</t>
  </si>
  <si>
    <t>CC</t>
  </si>
  <si>
    <t>91021</t>
  </si>
  <si>
    <t>Arpajon</t>
  </si>
  <si>
    <t>91022</t>
  </si>
  <si>
    <t>Arrancourt</t>
  </si>
  <si>
    <t>91027</t>
  </si>
  <si>
    <t>Athis-Mons</t>
  </si>
  <si>
    <t>ME</t>
  </si>
  <si>
    <t>91035</t>
  </si>
  <si>
    <t>Authon-la-Plaine</t>
  </si>
  <si>
    <t>91037</t>
  </si>
  <si>
    <t>Auvernaux</t>
  </si>
  <si>
    <t>91038</t>
  </si>
  <si>
    <t>Auvers-Saint-Georges</t>
  </si>
  <si>
    <t>91041</t>
  </si>
  <si>
    <t>Avrainville</t>
  </si>
  <si>
    <t>91044</t>
  </si>
  <si>
    <t>Ballainvilliers</t>
  </si>
  <si>
    <t>91045</t>
  </si>
  <si>
    <t>Ballancourt-sur-Essonne</t>
  </si>
  <si>
    <t>91047</t>
  </si>
  <si>
    <t>Baulne</t>
  </si>
  <si>
    <t>91064</t>
  </si>
  <si>
    <t>Bièvres</t>
  </si>
  <si>
    <t>91067</t>
  </si>
  <si>
    <t>Blandy</t>
  </si>
  <si>
    <t>91069</t>
  </si>
  <si>
    <t>Boigneville</t>
  </si>
  <si>
    <t>91075</t>
  </si>
  <si>
    <t>Bois-Herpin</t>
  </si>
  <si>
    <t>91079</t>
  </si>
  <si>
    <t>Boissy-la-Rivière</t>
  </si>
  <si>
    <t>91080</t>
  </si>
  <si>
    <t>Boissy-le-Cutté</t>
  </si>
  <si>
    <t>91081</t>
  </si>
  <si>
    <t>Boissy-le-Sec</t>
  </si>
  <si>
    <t>91085</t>
  </si>
  <si>
    <t>Boissy-sous-Saint-Yon</t>
  </si>
  <si>
    <t>91086</t>
  </si>
  <si>
    <t>Bondoufle</t>
  </si>
  <si>
    <t>91093</t>
  </si>
  <si>
    <t>Boullay-les-Troux</t>
  </si>
  <si>
    <t>91095</t>
  </si>
  <si>
    <t>Bouray-sur-Juine</t>
  </si>
  <si>
    <t>91097</t>
  </si>
  <si>
    <t>Boussy-Saint-Antoine</t>
  </si>
  <si>
    <t>91098</t>
  </si>
  <si>
    <t>Boutervilliers</t>
  </si>
  <si>
    <t>91099</t>
  </si>
  <si>
    <t>Boutigny-sur-Essonne</t>
  </si>
  <si>
    <t>91100</t>
  </si>
  <si>
    <t>Bouville</t>
  </si>
  <si>
    <t>91103</t>
  </si>
  <si>
    <t>Brétigny-sur-Orge</t>
  </si>
  <si>
    <t>91105</t>
  </si>
  <si>
    <t>Breuillet</t>
  </si>
  <si>
    <t>91106</t>
  </si>
  <si>
    <t>Breux-Jouy</t>
  </si>
  <si>
    <t>91109</t>
  </si>
  <si>
    <t>Brières-les-Scellés</t>
  </si>
  <si>
    <t>91111</t>
  </si>
  <si>
    <t>Briis-sous-Forges</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</si>
  <si>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</si>
  <si>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</si>
  <si>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</si>
  <si>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</si>
  <si>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</si>
  <si>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</si>
  <si>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</si>
  <si>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</si>
  <si>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</si>
  <si>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</si>
  <si>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</si>
  <si>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</si>
  <si>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</si>
  <si>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</si>
  <si>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</si>
  <si>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</si>
  <si>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</si>
  <si>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</si>
  <si>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</si>
  <si>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</si>
  <si>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</si>
  <si>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</si>
  <si>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</si>
  <si>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</si>
  <si>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</si>
  <si>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</si>
  <si>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</si>
  <si>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</si>
  <si>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</si>
  <si>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</si>
  <si>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</si>
  <si>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Chevannes</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</si>
  <si>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</si>
  <si>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</si>
  <si>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</si>
  <si>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</si>
  <si>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</si>
  <si>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</si>
  <si>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</si>
  <si>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</si>
  <si>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</si>
  <si>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</si>
  <si>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</si>
  <si>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</si>
  <si>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</si>
  <si>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</si>
  <si>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</si>
  <si>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</si>
  <si>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</si>
  <si>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</si>
  <si>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</si>
  <si>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</si>
  <si>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</si>
  <si>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Dourdan</t>
  </si>
  <si>
    <t>91201</t>
  </si>
  <si>
    <t>Draveil</t>
  </si>
  <si>
    <t>91204</t>
  </si>
  <si>
    <t>Écharcon</t>
  </si>
  <si>
    <t>91207</t>
  </si>
  <si>
    <t>Égly</t>
  </si>
  <si>
    <t>91215</t>
  </si>
  <si>
    <t>Épinay-sous-Sénart</t>
  </si>
  <si>
    <t>91216</t>
  </si>
  <si>
    <t>Épinay-sur-Orge</t>
  </si>
  <si>
    <t>91223</t>
  </si>
  <si>
    <t>Étampes</t>
  </si>
  <si>
    <t>91225</t>
  </si>
  <si>
    <t>Étiolles</t>
  </si>
  <si>
    <t>91226</t>
  </si>
  <si>
    <t>Étréchy</t>
  </si>
  <si>
    <t>91228</t>
  </si>
  <si>
    <t>Évry-Courcouronnes</t>
  </si>
  <si>
    <t>91232</t>
  </si>
  <si>
    <t>La Ferté-Alais</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</si>
  <si>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</si>
  <si>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</si>
  <si>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</si>
  <si>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</si>
  <si>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</si>
  <si>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</si>
  <si>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</si>
  <si>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</si>
  <si>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</si>
  <si>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</si>
  <si>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</si>
  <si>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</si>
  <si>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</si>
  <si>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</si>
  <si>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</si>
  <si>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</si>
  <si>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</si>
  <si>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</si>
  <si>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</si>
  <si>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</si>
  <si>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</si>
  <si>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</si>
  <si>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</si>
  <si>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</si>
  <si>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</si>
  <si>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Grigny</t>
  </si>
  <si>
    <t>91292</t>
  </si>
  <si>
    <t>Guibeville</t>
  </si>
  <si>
    <t>91293</t>
  </si>
  <si>
    <t>Guigneville-sur-Essonne</t>
  </si>
  <si>
    <t>91294</t>
  </si>
  <si>
    <t>Guillerval</t>
  </si>
  <si>
    <t>91312</t>
  </si>
  <si>
    <t>Igny</t>
  </si>
  <si>
    <t>91315</t>
  </si>
  <si>
    <t>Itteville</t>
  </si>
  <si>
    <t>91318</t>
  </si>
  <si>
    <t>Janville-sur-Juine</t>
  </si>
  <si>
    <t>91319</t>
  </si>
  <si>
    <t>Janvry</t>
  </si>
  <si>
    <t>91326</t>
  </si>
  <si>
    <t>Juvisy-sur-Orge</t>
  </si>
  <si>
    <t>91330</t>
  </si>
  <si>
    <t>Lardy</t>
  </si>
  <si>
    <t>91332</t>
  </si>
  <si>
    <t>Leudeville</t>
  </si>
  <si>
    <t>91333</t>
  </si>
  <si>
    <t>Leuville-sur-Orge</t>
  </si>
  <si>
    <t>91338</t>
  </si>
  <si>
    <t>Limours</t>
  </si>
  <si>
    <t>91339</t>
  </si>
  <si>
    <t>Linas</t>
  </si>
  <si>
    <t>91340</t>
  </si>
  <si>
    <t>Lisses</t>
  </si>
  <si>
    <t>91345</t>
  </si>
  <si>
    <t>Longjumeau</t>
  </si>
  <si>
    <t>91347</t>
  </si>
  <si>
    <t>Longpont-sur-Orge</t>
  </si>
  <si>
    <t>91359</t>
  </si>
  <si>
    <t>Maisse</t>
  </si>
  <si>
    <t>91363</t>
  </si>
  <si>
    <t>Marcoussis</t>
  </si>
  <si>
    <t>91374</t>
  </si>
  <si>
    <t>Marolles-en-Beauce</t>
  </si>
  <si>
    <t>91376</t>
  </si>
  <si>
    <t>Marolles-en-Hurepoix</t>
  </si>
  <si>
    <t>91377</t>
  </si>
  <si>
    <t>Massy</t>
  </si>
  <si>
    <t>91378</t>
  </si>
  <si>
    <t>Mauchamps</t>
  </si>
  <si>
    <t>91386</t>
  </si>
  <si>
    <t>Mennecy</t>
  </si>
  <si>
    <t>91390</t>
  </si>
  <si>
    <t>Le Mérévillois</t>
  </si>
  <si>
    <t>91393</t>
  </si>
  <si>
    <t>Mérobert</t>
  </si>
  <si>
    <t>91399</t>
  </si>
  <si>
    <t>Mespuits</t>
  </si>
  <si>
    <t>91405</t>
  </si>
  <si>
    <t>Milly-la-Forêt</t>
  </si>
  <si>
    <t>91408</t>
  </si>
  <si>
    <t>Moigny-sur-École</t>
  </si>
  <si>
    <t>91411</t>
  </si>
  <si>
    <t>Les Molières</t>
  </si>
  <si>
    <t>91412</t>
  </si>
  <si>
    <t>Mondeville</t>
  </si>
  <si>
    <t>91414</t>
  </si>
  <si>
    <t>Monnerville</t>
  </si>
  <si>
    <t>91421</t>
  </si>
  <si>
    <t>Montgeron</t>
  </si>
  <si>
    <t>91425</t>
  </si>
  <si>
    <t>Montlhéry</t>
  </si>
  <si>
    <t>91432</t>
  </si>
  <si>
    <t>Morangis</t>
  </si>
  <si>
    <t>91433</t>
  </si>
  <si>
    <t>Morigny-Champigny</t>
  </si>
  <si>
    <t>91434</t>
  </si>
  <si>
    <t>Morsang-sur-Orge</t>
  </si>
  <si>
    <t>91435</t>
  </si>
  <si>
    <t>Morsang-sur-Seine</t>
  </si>
  <si>
    <t>91441</t>
  </si>
  <si>
    <t>Nainville-les-Roches</t>
  </si>
  <si>
    <t>91457</t>
  </si>
  <si>
    <t>La Norville</t>
  </si>
  <si>
    <t>91458</t>
  </si>
  <si>
    <t>Nozay</t>
  </si>
  <si>
    <t>91461</t>
  </si>
  <si>
    <t>Ollainville</t>
  </si>
  <si>
    <t>91463</t>
  </si>
  <si>
    <t>Oncy-sur-École</t>
  </si>
  <si>
    <t>91468</t>
  </si>
  <si>
    <t>Ormoy</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</si>
  <si>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</si>
  <si>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</si>
  <si>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</si>
  <si>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</si>
  <si>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</si>
  <si>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</si>
  <si>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</si>
  <si>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</si>
  <si>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</si>
  <si>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</si>
  <si>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</si>
  <si>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</si>
  <si>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</si>
  <si>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</si>
  <si>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</si>
  <si>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</si>
  <si>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</si>
  <si>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</si>
  <si>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</si>
  <si>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</si>
  <si>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</si>
  <si>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Pussay</t>
  </si>
  <si>
    <t>91514</t>
  </si>
  <si>
    <t>Quincy-sous-Sénart</t>
  </si>
  <si>
    <t>91519</t>
  </si>
  <si>
    <t>Richarville</t>
  </si>
  <si>
    <t>91521</t>
  </si>
  <si>
    <t>Ris-Orangis</t>
  </si>
  <si>
    <t>91525</t>
  </si>
  <si>
    <t>Roinville</t>
  </si>
  <si>
    <t>91526</t>
  </si>
  <si>
    <t>Roinvilliers</t>
  </si>
  <si>
    <t>91533</t>
  </si>
  <si>
    <t>Saclas</t>
  </si>
  <si>
    <t>91534</t>
  </si>
  <si>
    <t>Saclay</t>
  </si>
  <si>
    <t>91538</t>
  </si>
  <si>
    <t>Saint-Aubin</t>
  </si>
  <si>
    <t>91540</t>
  </si>
  <si>
    <t>Saint-Chéron</t>
  </si>
  <si>
    <t>91544</t>
  </si>
  <si>
    <t>Saint-Cyr-la-Rivière</t>
  </si>
  <si>
    <t>91546</t>
  </si>
  <si>
    <t>Saint-Cyr-sous-Dourdan</t>
  </si>
  <si>
    <t>91547</t>
  </si>
  <si>
    <t>Saint-Escobille</t>
  </si>
  <si>
    <t>91549</t>
  </si>
  <si>
    <t>Sainte-Geneviève-des-Bois</t>
  </si>
  <si>
    <t>91552</t>
  </si>
  <si>
    <t>Saint-Germain-lès-Arpajon</t>
  </si>
  <si>
    <t>91553</t>
  </si>
  <si>
    <t>Saint-Germain-lès-Corbeil</t>
  </si>
  <si>
    <t>91556</t>
  </si>
  <si>
    <t>Saint-Hilaire</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</si>
  <si>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</si>
  <si>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</si>
  <si>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</si>
  <si>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</si>
  <si>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</si>
  <si>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</si>
  <si>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</si>
  <si>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</si>
  <si>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</si>
  <si>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</si>
  <si>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</si>
  <si>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</si>
  <si>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</si>
  <si>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Saint-Vrain</t>
  </si>
  <si>
    <t>91581</t>
  </si>
  <si>
    <t>Saint-Yon</t>
  </si>
  <si>
    <t>91587</t>
  </si>
  <si>
    <t>Saulx-les-Chartreux</t>
  </si>
  <si>
    <t>91589</t>
  </si>
  <si>
    <t>Savigny-sur-Orge</t>
  </si>
  <si>
    <t>91593</t>
  </si>
  <si>
    <t>Sermaise</t>
  </si>
  <si>
    <t>91599</t>
  </si>
  <si>
    <t>Soisy-sur-École</t>
  </si>
  <si>
    <t>91600</t>
  </si>
  <si>
    <t>Soisy-sur-Seine</t>
  </si>
  <si>
    <t>91602</t>
  </si>
  <si>
    <t>Souzy-la-Briche</t>
  </si>
  <si>
    <t>91613</t>
  </si>
  <si>
    <t>Congerville-Thionville</t>
  </si>
  <si>
    <t>91617</t>
  </si>
  <si>
    <t>Tigery</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</si>
  <si>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</si>
  <si>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</si>
  <si>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</si>
  <si>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</si>
  <si>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</si>
  <si>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</si>
  <si>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</si>
  <si>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</si>
  <si>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</si>
  <si>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</si>
  <si>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</si>
  <si>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</si>
  <si>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</si>
  <si>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</si>
  <si>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</si>
  <si>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</si>
  <si>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</si>
  <si>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Vert-le-Grand</t>
  </si>
  <si>
    <t>91649</t>
  </si>
  <si>
    <t>Vert-le-Petit</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</si>
  <si>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</si>
  <si>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</si>
  <si>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</si>
  <si>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</si>
  <si>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</si>
  <si>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</si>
  <si>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</si>
  <si>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</si>
  <si>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</si>
  <si>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</si>
  <si>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</si>
  <si>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</si>
  <si>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</si>
  <si>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</si>
  <si>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</si>
  <si>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</si>
  <si>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</si>
  <si>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</si>
  <si>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</si>
  <si>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</si>
  <si>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</si>
  <si>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</si>
  <si>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</si>
  <si>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</si>
  <si>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</si>
  <si>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</si>
  <si>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</si>
  <si>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</si>
  <si>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</si>
  <si>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</si>
  <si>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Sources</t>
  </si>
  <si>
    <t>Données socio-démographiques du recensement de la population</t>
  </si>
  <si>
    <t>Univers : département de l’Essone (194 communes)</t>
  </si>
  <si>
    <t>https://www.insee.fr</t>
  </si>
  <si>
    <t>Code Insee de la commune</t>
  </si>
  <si>
    <t>Nom de la commune</t>
  </si>
  <si>
    <t>Nombre d’individus selon une ombinaison de trois variables : CSP (C), Immigration (I), Sexe (S)</t>
  </si>
  <si>
    <t>Exemple : Agriculteurs (C1) immigrés (I1) de sexe masculin (S1)</t>
  </si>
  <si>
    <t>C1</t>
  </si>
  <si>
    <t>Agriculteurs exploitants</t>
  </si>
  <si>
    <t>C2</t>
  </si>
  <si>
    <t>Artisans, commerçants et chefs d'entreprise</t>
  </si>
  <si>
    <t>C3</t>
  </si>
  <si>
    <t>Cadres et professions intellectuelles supérieures</t>
  </si>
  <si>
    <t>C4</t>
  </si>
  <si>
    <t>Professions Intermédiaires</t>
  </si>
  <si>
    <t>C5</t>
  </si>
  <si>
    <t>Employés</t>
  </si>
  <si>
    <t>C6</t>
  </si>
  <si>
    <t>Ouvriers</t>
  </si>
  <si>
    <t>C7</t>
  </si>
  <si>
    <t>Retraités</t>
  </si>
  <si>
    <t>C8</t>
  </si>
  <si>
    <t>Autres personnes sans activité professionnelle</t>
  </si>
  <si>
    <t>I1</t>
  </si>
  <si>
    <t>Immigrés</t>
  </si>
  <si>
    <t>I2</t>
  </si>
  <si>
    <t>Non immigrés</t>
  </si>
  <si>
    <t>S1</t>
  </si>
  <si>
    <t>Hommes</t>
  </si>
  <si>
    <t>S2</t>
  </si>
  <si>
    <t>Femmes</t>
  </si>
  <si>
    <t>Nature de l’EPCI (Communauté de communes, Communauté d’agglomération)</t>
  </si>
  <si>
    <t xml:space="preserve">Tranche d’aire urbaine : 0 - Commune hors attraction des villes 1 - Aire de moins de 50 000 habitants 2 - Aire de 50 000 à moins de 200 000 habitants 3 - Aire de 200 000 à moins de 700 000 habitants 4 - Aire de 700 000 habitants ou plus (hors Paris) 5 - Aire de Paris </t>
  </si>
  <si>
    <t>Les valeurs du tableau sont bien des stocks d’individus même s’ils comportent des décimales. Le recensement de la population se fait par sondage depuis 2004, les individus sont assortis d’un coefficient de pondération, ce qui produit des nombre réels non entiers.</t>
  </si>
  <si>
    <t xml:space="preserve">Voir la documentation sur la catégorisation PCS 2003, en particulier les chômeurs n’appartiennent pas à la catégorie 8, ils appartiennent à la population active et sont classés dans les CS d'actifs en fonction de leur dernière situation professionnelle </t>
  </si>
  <si>
    <t>Chaque commune</t>
  </si>
  <si>
    <t>Quali</t>
  </si>
  <si>
    <t>N</t>
  </si>
  <si>
    <t>Quanti</t>
  </si>
  <si>
    <t>D</t>
  </si>
  <si>
    <t>S</t>
  </si>
  <si>
    <t>O</t>
  </si>
  <si>
    <t>T_Im_Hom</t>
  </si>
  <si>
    <t>T_Im_Fem</t>
  </si>
  <si>
    <t>T_non_Im_Hom</t>
  </si>
  <si>
    <t>T_non_Im_Fem</t>
  </si>
  <si>
    <t>Voir Exercice 2</t>
  </si>
  <si>
    <t>Sex_ratio_Im</t>
  </si>
  <si>
    <t>Sex_ratio_non_Im</t>
  </si>
  <si>
    <t>Total</t>
  </si>
  <si>
    <t>T_actifs</t>
  </si>
  <si>
    <t>T_im</t>
  </si>
  <si>
    <t>T_non_im</t>
  </si>
  <si>
    <t>Ensemble des 194 communes</t>
  </si>
  <si>
    <t>Pas faire</t>
  </si>
  <si>
    <t>Pas fait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</si>
</sst>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charset val="1"/>
    </font>
    <font>
      <b/>
      <sz val="24"/>
      <color rgb="FF800000"/>
      <name val="Arial"/>
      <family val="2"/>
      <charset val="1"/>
    </font>
    <font>
      <b/>
      <i/>
      <sz val="14"/>
      <color rgb="FF800000"/>
      <name val="Arial"/>
      <family val="2"/>
      <charset val="1"/>
    </font>
    <font>
      <b/>
      <sz val="16"/>
      <name val="Arial"/>
      <family val="2"/>
      <charset val="1"/>
    </font>
    <font>
      <b/>
      <i/>
      <sz val="10"/>
      <name val="Arial"/>
      <family val="2"/>
      <charset val="1"/>
    </font>
    <font>
      <b/>
      <u/>
      <sz val="10"/>
      <name val="Arial"/>
      <family val="2"/>
      <charset val="1"/>
    </font>
    <font>
      <b/>
      <sz val="10"/>
      <name val="Arial"/>
      <family val="2"/>
      <charset val="1"/>
    </font>
    <font>
      <sz val="10"/>
      <color rgb="FF0000FF"/>
      <name val="Arial"/>
      <family val="2"/>
      <charset val="1"/>
    </font>
    <font>
      <b/>
      <sz val="18"/>
      <name val="Arial"/>
      <family val="2"/>
      <charset val="1"/>
    </font>
    <font>
      <b/>
      <sz val="10"/>
      <color rgb="FF0070C0"/>
      <name val="Arial"/>
      <family val="2"/>
    </font>
    <font>
      <b/>
      <sz val="10"/>
      <name val="Arial"/>
      <family val="2"/>
    </font>
  </fonts>
  <fills count="4">
    <fill>
      <patternFill patternType="none"/>
    </fill>
    <fill>
      <patternFill patternType="gray125"/>
    </fill>
    <fill>
      <patternFill patternType="solid">
        <fgColor rgb="FFC0C0C0"/>
        <bgColor rgb="FFBFBFBF"/>
      </patternFill>
    </fill>
    <fill>
      <patternFill patternType="solid">
        <fgColor theme="4" tint="0.79998168889431442"/>
        <bgColor indexed="64"/>
      </patternFill>
    </fill>
  </fills>
  <borders count="16">
    <border>
      <left/>
      <right/>
      <top/>
      <bottom/>
      <diagonal/>
    </border>
    <border>
      <left/>
      <right/>
      <top/>
      <bottom style="thin">
        <color rgb="FF3C3C3C"/>
      </bottom>
      <diagonal/>
    </border>
    <border>
      <left style="thin">
        <color rgb="FF3C3C3C"/>
      </left>
      <right/>
      <top style="thin">
        <color rgb="FF3C3C3C"/>
      </top>
      <bottom style="thin">
        <color rgb="FF3C3C3C"/>
      </bottom>
      <diagonal/>
    </border>
    <border>
      <left style="thin">
        <color rgb="FF3C3C3C"/>
      </left>
      <right/>
      <top style="thin">
        <color rgb="FF3C3C3C"/>
      </top>
      <bottom/>
      <diagonal/>
    </border>
    <border>
      <left/>
      <right/>
      <top style="thin">
        <color rgb="FF3C3C3C"/>
      </top>
      <bottom/>
      <diagonal/>
    </border>
    <border>
      <left/>
      <right style="thin">
        <color rgb="FF3C3C3C"/>
      </right>
      <top style="thin">
        <color rgb="FF3C3C3C"/>
      </top>
      <bottom/>
      <diagonal/>
    </border>
    <border>
      <left style="thin">
        <color rgb="FF3C3C3C"/>
      </left>
      <right/>
      <top/>
      <bottom/>
      <diagonal/>
    </border>
    <border>
      <left style="thin">
        <color rgb="FF3C3C3C"/>
      </left>
      <right style="thin">
        <color rgb="FF3C3C3C"/>
      </right>
      <top style="thin">
        <color rgb="FF3C3C3C"/>
      </top>
      <bottom style="thin">
        <color rgb="FF3C3C3C"/>
      </bottom>
      <diagonal/>
    </border>
    <border>
      <left style="thin">
        <color rgb="FF3C3C3C"/>
      </left>
      <right/>
      <top/>
      <bottom style="thin">
        <color rgb="FF3C3C3C"/>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style="medium">
        <color auto="1"/>
      </left>
      <right/>
      <top/>
      <bottom style="medium">
        <color auto="1"/>
      </bottom>
      <diagonal/>
    </border>
    <border>
      <left style="thin">
        <color rgb="FF3C3C3C"/>
      </left>
      <right style="thin">
        <color rgb="FF3C3C3C"/>
      </right>
      <top/>
      <bottom/>
      <diagonal/>
    </border>
    <border>
      <left style="thin">
        <color rgb="FF3C3C3C"/>
      </left>
      <right style="thin">
        <color rgb="FF3C3C3C"/>
      </right>
      <top/>
      <bottom style="thin">
        <color rgb="FF3C3C3C"/>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1" xfId="0" applyBorder="1"/>
    <xf numFmtId="0" fontId="5" fillId="0" borderId="2" xfId="0" applyFont="1" applyBorder="1"/>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xf numFmtId="0" fontId="0" fillId="2" borderId="7" xfId="0" applyFill="1" applyBorder="1"/>
    <xf numFmtId="0" fontId="6" fillId="0" borderId="8" xfId="0" applyFont="1" applyBorder="1"/>
    <xf numFmtId="0" fontId="6" fillId="0" borderId="9" xfId="0" applyFont="1" applyBorder="1"/>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xf numFmtId="0" fontId="6" fillId="0" borderId="13" xfId="0" applyFont="1" applyBorder="1"/>
    <xf numFmtId="0" fontId="6" fillId="0" borderId="7" xfId="0" applyFont="1" applyBorder="1"/>
    <xf numFmtId="0" fontId="6" fillId="0" borderId="14" xfId="0" applyFont="1" applyBorder="1"/>
    <xf numFmtId="0" fontId="6" fillId="2" borderId="14" xfId="0" applyFont="1" applyFill="1" applyBorder="1"/>
    <xf numFmtId="0" fontId="6" fillId="0" borderId="15" xfId="0" applyFont="1" applyBorder="1"/>
    <xf numFmtId="0" fontId="6" fillId="2" borderId="15" xfId="0" applyFont="1" applyFill="1" applyBorder="1"/>
    <xf numFmtId="0" fontId="0" fillId="0" borderId="4" xfId="0" applyBorder="1"/>
    <xf numFmtId="0" fontId="7" fillId="0" borderId="0" xfId="0" applyFont="1"/>
    <xf numFmtId="0" fontId="0" fillId="0" borderId="0" xfId="0" applyAlignment="1">
      <alignment horizontal="right"/>
    </xf>
    <xf numFmtId="49" fontId="0" fillId="0" borderId="0" xfId="0" applyNumberFormat="1"/>
    <xf numFmtId="0" fontId="8" fillId="0" borderId="0" xfId="0" applyFont="1"/>
    <xf numFmtId="0" fontId="6" fillId="0" borderId="0" xfId="0" applyFont="1"/>
    <xf numFmtId="0" fontId="0" fillId="0" borderId="0" xfId="0" applyAlignment="1">
      <alignment horizontal="left"/>
    </xf>
    <xf numFmtId="0" fontId="9" fillId="0" borderId="0" xfId="0" applyFont="1"/>
    <xf numFmtId="0" fontId="10" fillId="0" borderId="0" xfId="0" applyFont="1" applyAlignment="1">
      <alignment horizontal="center" vertical="center"/>
    </xf>
    <xf numFmtId="0" fontId="10" fillId="0" borderId="0" xfId="0" applyFont="1"/>
    <xf numFmtId="0" fontId="10" fillId="0" borderId="0" xfId="0" applyFont="1" applyAlignment="1">
      <alignment horizontal="center"/>
    </xf>
    <xf numFmtId="2" fontId="10" fillId="0" borderId="0" xfId="0" applyNumberFormat="1" applyFont="1" applyAlignment="1">
      <alignment horizontal="center" vertical="center"/>
    </xf>
    <xf numFmtId="2" fontId="10" fillId="0" borderId="0" xfId="0" applyNumberFormat="1" applyFont="1" applyAlignment="1">
      <alignment horizontal="center"/>
    </xf>
    <xf numFmtId="0" fontId="10" fillId="3" borderId="0" xfId="0" applyFont="1" applyFill="1" applyAlignment="1">
      <alignment horizontal="center" vertical="center"/>
    </xf>
    <xf numFmtId="0" fontId="10" fillId="3" borderId="0" xfId="0" applyFont="1" applyFill="1" applyAlignment="1">
      <alignment horizontal="center"/>
    </xf>
    <xf numFmtId="0" fontId="0" fillId="2" borderId="7" xfId="0" applyFill="1" applyBorder="1" applyAlignment="1">
      <alignment vertical="center" wrapText="1"/>
    </xf>
    <xf numFmtId="0" fontId="9"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C3C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agrit.cnrs.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tabSelected="1" topLeftCell="A45" zoomScaleNormal="100" workbookViewId="0">
      <selection activeCell="J57" sqref="J57"/>
    </sheetView>
  </sheetViews>
  <sheetFormatPr baseColWidth="10" defaultColWidth="8.5546875" defaultRowHeight="13.2" x14ac:dyDescent="0.25"/>
  <cols>
    <col min="2" max="2" width="54.88671875" customWidth="1"/>
    <col min="3" max="3" width="19.88671875" customWidth="1"/>
    <col min="4" max="4" width="13.88671875" customWidth="1"/>
    <col min="5" max="5" width="13.6640625" customWidth="1"/>
    <col min="6" max="6" width="13.44140625" customWidth="1"/>
  </cols>
  <sheetData>
    <row r="1" spans="1:3" ht="30" x14ac:dyDescent="0.5">
      <c r="A1" s="1" t="s">
        <v>0</v>
      </c>
    </row>
    <row r="2" spans="1:3" ht="17.399999999999999" x14ac:dyDescent="0.3">
      <c r="A2" s="2" t="s">
        <v>1</v>
      </c>
    </row>
    <row r="5" spans="1:3" ht="21" x14ac:dyDescent="0.4">
      <c r="A5" s="3" t="s">
        <v>2</v>
      </c>
    </row>
    <row r="7" spans="1:3" x14ac:dyDescent="0.25">
      <c r="A7" s="4" t="s">
        <v>3</v>
      </c>
      <c r="C7" s="30"/>
    </row>
    <row r="8" spans="1:3" x14ac:dyDescent="0.25">
      <c r="A8" s="4" t="s">
        <v>4</v>
      </c>
      <c r="C8" s="30" t="s">
        <v>514</v>
      </c>
    </row>
    <row r="9" spans="1:3" x14ac:dyDescent="0.25">
      <c r="A9" s="4" t="s">
        <v>5</v>
      </c>
      <c r="C9" t="s">
        <v>532</v>
      </c>
    </row>
    <row r="10" spans="1:3" x14ac:dyDescent="0.25">
      <c r="A10" s="4" t="s">
        <v>6</v>
      </c>
    </row>
    <row r="12" spans="1:3" x14ac:dyDescent="0.25">
      <c r="B12" t="s">
        <v>7</v>
      </c>
    </row>
    <row r="13" spans="1:3" x14ac:dyDescent="0.25">
      <c r="B13" t="s">
        <v>8</v>
      </c>
    </row>
    <row r="14" spans="1:3" x14ac:dyDescent="0.25">
      <c r="B14" t="s">
        <v>9</v>
      </c>
    </row>
    <row r="15" spans="1:3" x14ac:dyDescent="0.25">
      <c r="B15" t="s">
        <v>10</v>
      </c>
    </row>
    <row r="17" spans="1:10" x14ac:dyDescent="0.25">
      <c r="F17" s="5"/>
    </row>
    <row r="18" spans="1:10" x14ac:dyDescent="0.25">
      <c r="B18" s="6"/>
      <c r="C18" s="7" t="s">
        <v>11</v>
      </c>
      <c r="D18" s="8" t="s">
        <v>12</v>
      </c>
      <c r="E18" s="8" t="s">
        <v>13</v>
      </c>
      <c r="F18" s="9" t="s">
        <v>14</v>
      </c>
    </row>
    <row r="19" spans="1:10" x14ac:dyDescent="0.25">
      <c r="B19" s="10" t="s">
        <v>15</v>
      </c>
      <c r="C19" s="11" t="s">
        <v>515</v>
      </c>
      <c r="D19" s="11" t="s">
        <v>516</v>
      </c>
      <c r="E19" s="11"/>
      <c r="F19" s="11"/>
    </row>
    <row r="20" spans="1:10" x14ac:dyDescent="0.25">
      <c r="B20" s="10" t="s">
        <v>16</v>
      </c>
      <c r="C20" s="11" t="s">
        <v>517</v>
      </c>
      <c r="D20" s="11"/>
      <c r="E20" s="11" t="s">
        <v>518</v>
      </c>
      <c r="F20" s="11" t="s">
        <v>519</v>
      </c>
    </row>
    <row r="21" spans="1:10" x14ac:dyDescent="0.25">
      <c r="B21" s="10" t="s">
        <v>17</v>
      </c>
      <c r="C21" s="11" t="s">
        <v>517</v>
      </c>
      <c r="D21" s="11"/>
      <c r="E21" s="11" t="s">
        <v>518</v>
      </c>
      <c r="F21" s="11" t="s">
        <v>519</v>
      </c>
    </row>
    <row r="22" spans="1:10" x14ac:dyDescent="0.25">
      <c r="B22" s="10" t="s">
        <v>18</v>
      </c>
      <c r="C22" s="11" t="s">
        <v>515</v>
      </c>
      <c r="D22" s="11" t="s">
        <v>516</v>
      </c>
      <c r="E22" s="11"/>
      <c r="F22" s="11"/>
    </row>
    <row r="23" spans="1:10" x14ac:dyDescent="0.25">
      <c r="B23" s="12" t="s">
        <v>19</v>
      </c>
      <c r="C23" s="11" t="s">
        <v>515</v>
      </c>
      <c r="D23" s="11" t="s">
        <v>520</v>
      </c>
      <c r="E23" s="11"/>
      <c r="F23" s="11"/>
    </row>
    <row r="27" spans="1:10" ht="21" x14ac:dyDescent="0.4">
      <c r="A27" s="3" t="s">
        <v>20</v>
      </c>
    </row>
    <row r="28" spans="1:10" x14ac:dyDescent="0.25">
      <c r="F28" s="39" t="s">
        <v>525</v>
      </c>
      <c r="G28" s="39"/>
      <c r="H28" s="39"/>
      <c r="I28" s="39"/>
      <c r="J28" s="39"/>
    </row>
    <row r="29" spans="1:10" x14ac:dyDescent="0.25">
      <c r="A29" s="4" t="s">
        <v>21</v>
      </c>
      <c r="F29" s="39"/>
      <c r="G29" s="39"/>
      <c r="H29" s="39"/>
      <c r="I29" s="39"/>
      <c r="J29" s="39"/>
    </row>
    <row r="30" spans="1:10" x14ac:dyDescent="0.25">
      <c r="A30" s="4" t="s">
        <v>22</v>
      </c>
      <c r="F30" s="39"/>
      <c r="G30" s="39"/>
      <c r="H30" s="39"/>
      <c r="I30" s="39"/>
      <c r="J30" s="39"/>
    </row>
    <row r="31" spans="1:10" x14ac:dyDescent="0.25">
      <c r="A31" s="4" t="s">
        <v>23</v>
      </c>
      <c r="F31" s="39"/>
      <c r="G31" s="39"/>
      <c r="H31" s="39"/>
      <c r="I31" s="39"/>
      <c r="J31" s="39"/>
    </row>
    <row r="32" spans="1:10" x14ac:dyDescent="0.25">
      <c r="A32" s="4" t="s">
        <v>24</v>
      </c>
    </row>
    <row r="33" spans="1:5" x14ac:dyDescent="0.25">
      <c r="A33" s="4"/>
    </row>
    <row r="34" spans="1:5" x14ac:dyDescent="0.25">
      <c r="A34" s="4"/>
    </row>
    <row r="36" spans="1:5" ht="21" x14ac:dyDescent="0.4">
      <c r="A36" s="3" t="s">
        <v>25</v>
      </c>
    </row>
    <row r="38" spans="1:5" x14ac:dyDescent="0.25">
      <c r="A38" s="4" t="s">
        <v>26</v>
      </c>
      <c r="E38" s="30" t="s">
        <v>525</v>
      </c>
    </row>
    <row r="40" spans="1:5" x14ac:dyDescent="0.25">
      <c r="A40" s="4" t="s">
        <v>27</v>
      </c>
    </row>
    <row r="41" spans="1:5" x14ac:dyDescent="0.25">
      <c r="B41" t="s">
        <v>28</v>
      </c>
      <c r="E41" t="s">
        <v>533</v>
      </c>
    </row>
    <row r="42" spans="1:5" x14ac:dyDescent="0.25">
      <c r="B42" t="s">
        <v>29</v>
      </c>
    </row>
    <row r="45" spans="1:5" x14ac:dyDescent="0.25">
      <c r="A45" s="4" t="s">
        <v>30</v>
      </c>
    </row>
    <row r="47" spans="1:5" x14ac:dyDescent="0.25">
      <c r="B47" s="13"/>
      <c r="C47" s="14" t="s">
        <v>31</v>
      </c>
      <c r="D47" s="15" t="s">
        <v>32</v>
      </c>
    </row>
    <row r="48" spans="1:5" x14ac:dyDescent="0.25">
      <c r="B48" s="16" t="s">
        <v>33</v>
      </c>
      <c r="C48" s="33"/>
      <c r="D48" s="33"/>
    </row>
    <row r="49" spans="1:4" x14ac:dyDescent="0.25">
      <c r="B49" s="16" t="s">
        <v>34</v>
      </c>
      <c r="C49" s="33"/>
      <c r="D49" s="33"/>
    </row>
    <row r="50" spans="1:4" x14ac:dyDescent="0.25">
      <c r="B50" s="16" t="s">
        <v>35</v>
      </c>
      <c r="C50" s="33"/>
      <c r="D50" s="33"/>
    </row>
    <row r="51" spans="1:4" x14ac:dyDescent="0.25">
      <c r="B51" s="16" t="s">
        <v>36</v>
      </c>
      <c r="C51" s="35"/>
      <c r="D51" s="35"/>
    </row>
    <row r="52" spans="1:4" x14ac:dyDescent="0.25">
      <c r="B52" s="17" t="s">
        <v>37</v>
      </c>
      <c r="C52" s="35"/>
      <c r="D52" s="35"/>
    </row>
    <row r="56" spans="1:4" x14ac:dyDescent="0.25">
      <c r="A56" s="4" t="s">
        <v>38</v>
      </c>
    </row>
    <row r="59" spans="1:4" x14ac:dyDescent="0.25">
      <c r="A59" s="4" t="s">
        <v>39</v>
      </c>
    </row>
    <row r="60" spans="1:4" x14ac:dyDescent="0.25">
      <c r="A60" s="4"/>
      <c r="B60" t="s">
        <v>40</v>
      </c>
    </row>
    <row r="61" spans="1:4" x14ac:dyDescent="0.25">
      <c r="A61" s="4"/>
    </row>
    <row r="64" spans="1:4" x14ac:dyDescent="0.25">
      <c r="A64" s="4" t="s">
        <v>41</v>
      </c>
    </row>
    <row r="66" spans="1:6" x14ac:dyDescent="0.25">
      <c r="B66" s="18"/>
      <c r="C66" s="14" t="s">
        <v>31</v>
      </c>
      <c r="D66" s="15" t="s">
        <v>32</v>
      </c>
    </row>
    <row r="67" spans="1:6" x14ac:dyDescent="0.25">
      <c r="B67" s="19" t="s">
        <v>42</v>
      </c>
      <c r="C67" s="20" t="s">
        <v>534</v>
      </c>
      <c r="D67" s="20"/>
    </row>
    <row r="68" spans="1:6" x14ac:dyDescent="0.25">
      <c r="B68" s="19" t="s">
        <v>43</v>
      </c>
      <c r="C68" s="20" t="s">
        <v>534</v>
      </c>
      <c r="D68" s="20"/>
    </row>
    <row r="69" spans="1:6" x14ac:dyDescent="0.25">
      <c r="B69" s="19" t="s">
        <v>44</v>
      </c>
      <c r="C69" s="20">
        <v>5769877.2580710864</v>
      </c>
      <c r="D69" s="20">
        <v>67220603.289682224</v>
      </c>
    </row>
    <row r="70" spans="1:6" x14ac:dyDescent="0.25">
      <c r="B70" s="21" t="s">
        <v>45</v>
      </c>
      <c r="C70" s="22">
        <v>2402.0568806901902</v>
      </c>
      <c r="D70" s="22">
        <v>8198.8171884536023</v>
      </c>
    </row>
    <row r="71" spans="1:6" x14ac:dyDescent="0.25">
      <c r="B71" s="21" t="s">
        <v>46</v>
      </c>
      <c r="C71" s="22">
        <v>2.2013182184680433</v>
      </c>
      <c r="D71" s="22">
        <v>1.4663089860104828</v>
      </c>
    </row>
    <row r="74" spans="1:6" x14ac:dyDescent="0.25">
      <c r="A74" s="4" t="s">
        <v>47</v>
      </c>
    </row>
    <row r="76" spans="1:6" x14ac:dyDescent="0.25">
      <c r="B76" s="38"/>
      <c r="C76" s="38"/>
      <c r="D76" s="38"/>
      <c r="E76" s="38"/>
      <c r="F76" s="38"/>
    </row>
    <row r="77" spans="1:6" x14ac:dyDescent="0.25">
      <c r="B77" s="38"/>
      <c r="C77" s="38"/>
      <c r="D77" s="38"/>
      <c r="E77" s="38"/>
      <c r="F77" s="38"/>
    </row>
    <row r="78" spans="1:6" x14ac:dyDescent="0.25">
      <c r="B78" s="38"/>
      <c r="C78" s="38"/>
      <c r="D78" s="38"/>
      <c r="E78" s="38"/>
      <c r="F78" s="38"/>
    </row>
    <row r="79" spans="1:6" x14ac:dyDescent="0.25">
      <c r="B79" s="38"/>
      <c r="C79" s="38"/>
      <c r="D79" s="38"/>
      <c r="E79" s="38"/>
      <c r="F79" s="38"/>
    </row>
    <row r="80" spans="1:6" x14ac:dyDescent="0.25">
      <c r="F80" s="23"/>
    </row>
    <row r="81" spans="1:6" x14ac:dyDescent="0.25">
      <c r="F81" s="23"/>
    </row>
    <row r="84" spans="1:6" ht="21" x14ac:dyDescent="0.4">
      <c r="A84" s="3" t="s">
        <v>48</v>
      </c>
    </row>
    <row r="87" spans="1:6" x14ac:dyDescent="0.25">
      <c r="A87" s="4" t="s">
        <v>49</v>
      </c>
    </row>
    <row r="89" spans="1:6" x14ac:dyDescent="0.25">
      <c r="A89" s="4" t="s">
        <v>50</v>
      </c>
    </row>
    <row r="91" spans="1:6" x14ac:dyDescent="0.25">
      <c r="A91" s="4" t="s">
        <v>51</v>
      </c>
    </row>
    <row r="92" spans="1:6" x14ac:dyDescent="0.25">
      <c r="B92" s="24" t="s">
        <v>52</v>
      </c>
    </row>
  </sheetData>
  <mergeCells count="2">
    <mergeCell ref="B76:F79"/>
    <mergeCell ref="F28:J31"/>
  </mergeCells>
  <hyperlinks>
    <hyperlink ref="B92" r:id="rId1" xr:uid="{00000000-0004-0000-0000-000000000000}"/>
  </hyperlinks>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95"/>
  <sheetViews>
    <sheetView topLeftCell="M1" zoomScale="85" zoomScaleNormal="85" workbookViewId="0">
      <selection activeCell="AK12" sqref="A1:XFD1048576"/>
    </sheetView>
  </sheetViews>
  <sheetFormatPr baseColWidth="10" defaultColWidth="8.5546875" defaultRowHeight="13.2" x14ac:dyDescent="0.25"/>
  <cols>
    <col min="1" max="1" width="9.44140625" customWidth="1"/>
    <col min="2" max="2" width="24.6640625" customWidth="1"/>
    <col min="3" max="34" width="9.44140625" style="25" customWidth="1"/>
    <col min="35" max="35" width="18.88671875" style="25" customWidth="1"/>
    <col min="36" max="36" width="12.77734375" style="25" customWidth="1"/>
    <col min="957" max="1024" width="11.5546875" customWidth="1"/>
  </cols>
  <sheetData>
    <row r="1" spans="1:36" x14ac:dyDescent="0.25">
      <c r="A1" t="s">
        <v>53</v>
      </c>
      <c r="B1" t="s">
        <v>54</v>
      </c>
      <c r="C1" s="25" t="s">
        <v>16</v>
      </c>
      <c r="D1" s="25" t="s">
        <v>17</v>
      </c>
      <c r="E1" s="25" t="s">
        <v>55</v>
      </c>
      <c r="F1" s="25" t="s">
        <v>56</v>
      </c>
      <c r="G1" s="25" t="s">
        <v>57</v>
      </c>
      <c r="H1" s="25" t="s">
        <v>58</v>
      </c>
      <c r="I1" s="25" t="s">
        <v>59</v>
      </c>
      <c r="J1" s="25" t="s">
        <v>60</v>
      </c>
      <c r="K1" s="25" t="s">
        <v>61</v>
      </c>
      <c r="L1" s="25" t="s">
        <v>62</v>
      </c>
      <c r="M1" s="25" t="s">
        <v>63</v>
      </c>
      <c r="N1" s="25" t="s">
        <v>64</v>
      </c>
      <c r="O1" s="25" t="s">
        <v>65</v>
      </c>
      <c r="P1" s="25" t="s">
        <v>66</v>
      </c>
      <c r="Q1" s="25" t="s">
        <v>67</v>
      </c>
      <c r="R1" s="25" t="s">
        <v>68</v>
      </c>
      <c r="S1" s="25" t="s">
        <v>69</v>
      </c>
      <c r="T1" s="25" t="s">
        <v>70</v>
      </c>
      <c r="U1" s="25" t="s">
        <v>71</v>
      </c>
      <c r="V1" s="25" t="s">
        <v>72</v>
      </c>
      <c r="W1" s="25" t="s">
        <v>73</v>
      </c>
      <c r="X1" s="25" t="s">
        <v>74</v>
      </c>
      <c r="Y1" s="25" t="s">
        <v>75</v>
      </c>
      <c r="Z1" s="25" t="s">
        <v>76</v>
      </c>
      <c r="AA1" s="25" t="s">
        <v>77</v>
      </c>
      <c r="AB1" s="25" t="s">
        <v>78</v>
      </c>
      <c r="AC1" s="25" t="s">
        <v>79</v>
      </c>
      <c r="AD1" s="25" t="s">
        <v>80</v>
      </c>
      <c r="AE1" s="25" t="s">
        <v>81</v>
      </c>
      <c r="AF1" s="25" t="s">
        <v>82</v>
      </c>
      <c r="AG1" s="25" t="s">
        <v>83</v>
      </c>
      <c r="AH1" s="25" t="s">
        <v>84</v>
      </c>
      <c r="AI1" s="25" t="s">
        <v>85</v>
      </c>
      <c r="AJ1" s="25" t="s">
        <v>19</v>
      </c>
    </row>
    <row r="2" spans="1:36" x14ac:dyDescent="0.25">
      <c r="A2" s="26" t="s">
        <v>86</v>
      </c>
      <c r="B2" t="s">
        <v>87</v>
      </c>
      <c r="C2" s="25">
        <v>0</v>
      </c>
      <c r="D2" s="25">
        <v>0</v>
      </c>
      <c r="E2" s="25">
        <v>0</v>
      </c>
      <c r="F2" s="25">
        <v>0</v>
      </c>
      <c r="G2" s="25">
        <v>0</v>
      </c>
      <c r="H2" s="25">
        <v>0</v>
      </c>
      <c r="I2" s="25">
        <v>23.38</v>
      </c>
      <c r="J2" s="25">
        <v>0</v>
      </c>
      <c r="K2" s="25">
        <v>0</v>
      </c>
      <c r="L2" s="25">
        <v>4.68</v>
      </c>
      <c r="M2" s="25">
        <v>18.7</v>
      </c>
      <c r="N2" s="25">
        <v>9.35</v>
      </c>
      <c r="O2" s="25">
        <v>0</v>
      </c>
      <c r="P2" s="25">
        <v>0</v>
      </c>
      <c r="Q2" s="25">
        <v>9.35</v>
      </c>
      <c r="R2" s="25">
        <v>37.409999999999997</v>
      </c>
      <c r="S2" s="25">
        <v>0</v>
      </c>
      <c r="T2" s="25">
        <v>0</v>
      </c>
      <c r="U2" s="25">
        <v>18.7</v>
      </c>
      <c r="V2" s="25">
        <v>28.06</v>
      </c>
      <c r="W2" s="25">
        <v>0</v>
      </c>
      <c r="X2" s="25">
        <v>0</v>
      </c>
      <c r="Y2" s="25">
        <v>18.7</v>
      </c>
      <c r="Z2" s="25">
        <v>4.68</v>
      </c>
      <c r="AA2" s="25">
        <v>0</v>
      </c>
      <c r="AB2" s="25">
        <v>0</v>
      </c>
      <c r="AC2" s="25">
        <v>23.38</v>
      </c>
      <c r="AD2" s="25">
        <v>23.38</v>
      </c>
      <c r="AE2" s="25">
        <v>0</v>
      </c>
      <c r="AF2" s="25">
        <v>0</v>
      </c>
      <c r="AG2" s="25">
        <v>56.11</v>
      </c>
      <c r="AH2" s="25">
        <v>23.38</v>
      </c>
      <c r="AI2" s="25" t="s">
        <v>88</v>
      </c>
      <c r="AJ2" s="25" t="s">
        <v>89</v>
      </c>
    </row>
    <row r="3" spans="1:36" x14ac:dyDescent="0.25">
      <c r="A3" s="26" t="s">
        <v>90</v>
      </c>
      <c r="B3" t="s">
        <v>91</v>
      </c>
      <c r="C3" s="25">
        <v>0</v>
      </c>
      <c r="D3" s="25">
        <v>0</v>
      </c>
      <c r="E3" s="25">
        <v>20.34</v>
      </c>
      <c r="F3" s="25">
        <v>10.16</v>
      </c>
      <c r="G3" s="25">
        <v>10.17</v>
      </c>
      <c r="H3" s="25">
        <v>0</v>
      </c>
      <c r="I3" s="25">
        <v>10.14</v>
      </c>
      <c r="J3" s="25">
        <v>25.41</v>
      </c>
      <c r="K3" s="25">
        <v>10.17</v>
      </c>
      <c r="L3" s="25">
        <v>5.09</v>
      </c>
      <c r="M3" s="25">
        <v>101.64</v>
      </c>
      <c r="N3" s="25">
        <v>40.67</v>
      </c>
      <c r="O3" s="25">
        <v>45.71</v>
      </c>
      <c r="P3" s="25">
        <v>25.41</v>
      </c>
      <c r="Q3" s="25">
        <v>213.43</v>
      </c>
      <c r="R3" s="25">
        <v>198.16</v>
      </c>
      <c r="S3" s="25">
        <v>5.08</v>
      </c>
      <c r="T3" s="25">
        <v>30.47</v>
      </c>
      <c r="U3" s="25">
        <v>187.99</v>
      </c>
      <c r="V3" s="25">
        <v>528.54</v>
      </c>
      <c r="W3" s="25">
        <v>76.19</v>
      </c>
      <c r="X3" s="25">
        <v>15.25</v>
      </c>
      <c r="Y3" s="25">
        <v>350.82</v>
      </c>
      <c r="Z3" s="25">
        <v>71.16</v>
      </c>
      <c r="AA3" s="25">
        <v>45.8</v>
      </c>
      <c r="AB3" s="25">
        <v>45.8</v>
      </c>
      <c r="AC3" s="25">
        <v>295.14999999999998</v>
      </c>
      <c r="AD3" s="25">
        <v>386.65</v>
      </c>
      <c r="AE3" s="25">
        <v>20.309999999999999</v>
      </c>
      <c r="AF3" s="25">
        <v>71.099999999999994</v>
      </c>
      <c r="AG3" s="25">
        <v>654.73</v>
      </c>
      <c r="AH3" s="25">
        <v>766.48</v>
      </c>
      <c r="AI3" s="25" t="s">
        <v>88</v>
      </c>
      <c r="AJ3" s="25" t="s">
        <v>89</v>
      </c>
    </row>
    <row r="4" spans="1:36" x14ac:dyDescent="0.25">
      <c r="A4" s="26" t="s">
        <v>92</v>
      </c>
      <c r="B4" t="s">
        <v>93</v>
      </c>
      <c r="C4" s="25">
        <v>0</v>
      </c>
      <c r="D4" s="25">
        <v>0</v>
      </c>
      <c r="E4" s="25">
        <v>15.05</v>
      </c>
      <c r="F4" s="25">
        <v>0</v>
      </c>
      <c r="G4" s="25">
        <v>10.050000000000001</v>
      </c>
      <c r="H4" s="25">
        <v>5.03</v>
      </c>
      <c r="I4" s="25">
        <v>30.11</v>
      </c>
      <c r="J4" s="25">
        <v>20.11</v>
      </c>
      <c r="K4" s="25">
        <v>10.050000000000001</v>
      </c>
      <c r="L4" s="25">
        <v>0</v>
      </c>
      <c r="M4" s="25">
        <v>125.69</v>
      </c>
      <c r="N4" s="25">
        <v>80.44</v>
      </c>
      <c r="O4" s="25">
        <v>5.03</v>
      </c>
      <c r="P4" s="25">
        <v>0</v>
      </c>
      <c r="Q4" s="25">
        <v>135.74</v>
      </c>
      <c r="R4" s="25">
        <v>155.85</v>
      </c>
      <c r="S4" s="25">
        <v>5.03</v>
      </c>
      <c r="T4" s="25">
        <v>20.11</v>
      </c>
      <c r="U4" s="25">
        <v>20.11</v>
      </c>
      <c r="V4" s="25">
        <v>95.52</v>
      </c>
      <c r="W4" s="25">
        <v>20.11</v>
      </c>
      <c r="X4" s="25">
        <v>10.050000000000001</v>
      </c>
      <c r="Y4" s="25">
        <v>55.3</v>
      </c>
      <c r="Z4" s="25">
        <v>5.03</v>
      </c>
      <c r="AA4" s="25">
        <v>25.14</v>
      </c>
      <c r="AB4" s="25">
        <v>19.989999999999998</v>
      </c>
      <c r="AC4" s="25">
        <v>100.55</v>
      </c>
      <c r="AD4" s="25">
        <v>179.61</v>
      </c>
      <c r="AE4" s="25">
        <v>5.03</v>
      </c>
      <c r="AF4" s="25">
        <v>20.11</v>
      </c>
      <c r="AG4" s="25">
        <v>331.67</v>
      </c>
      <c r="AH4" s="25">
        <v>230.83</v>
      </c>
      <c r="AI4" s="25" t="s">
        <v>94</v>
      </c>
      <c r="AJ4" s="25" t="s">
        <v>89</v>
      </c>
    </row>
    <row r="5" spans="1:36" x14ac:dyDescent="0.25">
      <c r="A5" s="26" t="s">
        <v>95</v>
      </c>
      <c r="B5" t="s">
        <v>96</v>
      </c>
      <c r="C5" s="25">
        <v>0</v>
      </c>
      <c r="D5" s="25">
        <v>0</v>
      </c>
      <c r="E5" s="25">
        <v>0</v>
      </c>
      <c r="F5" s="25">
        <v>0</v>
      </c>
      <c r="G5" s="25">
        <v>32.67</v>
      </c>
      <c r="H5" s="25">
        <v>4.6100000000000003</v>
      </c>
      <c r="I5" s="25">
        <v>136.87</v>
      </c>
      <c r="J5" s="25">
        <v>32.64</v>
      </c>
      <c r="K5" s="25">
        <v>76.819999999999993</v>
      </c>
      <c r="L5" s="25">
        <v>27.74</v>
      </c>
      <c r="M5" s="25">
        <v>555.77</v>
      </c>
      <c r="N5" s="25">
        <v>344.18</v>
      </c>
      <c r="O5" s="25">
        <v>66.05</v>
      </c>
      <c r="P5" s="25">
        <v>64.849999999999994</v>
      </c>
      <c r="Q5" s="25">
        <v>582.66</v>
      </c>
      <c r="R5" s="25">
        <v>739.98</v>
      </c>
      <c r="S5" s="25">
        <v>140.41</v>
      </c>
      <c r="T5" s="25">
        <v>168.57</v>
      </c>
      <c r="U5" s="25">
        <v>352.85</v>
      </c>
      <c r="V5" s="25">
        <v>863.62</v>
      </c>
      <c r="W5" s="25">
        <v>368.61</v>
      </c>
      <c r="X5" s="25">
        <v>63.6</v>
      </c>
      <c r="Y5" s="25">
        <v>573.58000000000004</v>
      </c>
      <c r="Z5" s="25">
        <v>149.13</v>
      </c>
      <c r="AA5" s="25">
        <v>117.53</v>
      </c>
      <c r="AB5" s="25">
        <v>93.26</v>
      </c>
      <c r="AC5" s="25">
        <v>698.53</v>
      </c>
      <c r="AD5" s="25">
        <v>1015.94</v>
      </c>
      <c r="AE5" s="25">
        <v>213.09</v>
      </c>
      <c r="AF5" s="25">
        <v>267.07</v>
      </c>
      <c r="AG5" s="25">
        <v>1276.73</v>
      </c>
      <c r="AH5" s="25">
        <v>1354.12</v>
      </c>
      <c r="AI5" s="25" t="s">
        <v>88</v>
      </c>
      <c r="AJ5" s="25" t="s">
        <v>89</v>
      </c>
    </row>
    <row r="6" spans="1:36" x14ac:dyDescent="0.25">
      <c r="A6" s="26" t="s">
        <v>97</v>
      </c>
      <c r="B6" t="s">
        <v>98</v>
      </c>
      <c r="C6" s="25">
        <v>0</v>
      </c>
      <c r="D6" s="25">
        <v>0</v>
      </c>
      <c r="E6" s="25">
        <v>5.17</v>
      </c>
      <c r="F6" s="25">
        <v>0</v>
      </c>
      <c r="G6" s="25">
        <v>5.17</v>
      </c>
      <c r="H6" s="25">
        <v>0</v>
      </c>
      <c r="I6" s="25">
        <v>10.34</v>
      </c>
      <c r="J6" s="25">
        <v>0</v>
      </c>
      <c r="K6" s="25">
        <v>0</v>
      </c>
      <c r="L6" s="25">
        <v>5.17</v>
      </c>
      <c r="M6" s="25">
        <v>5.17</v>
      </c>
      <c r="N6" s="25">
        <v>0</v>
      </c>
      <c r="O6" s="25">
        <v>0</v>
      </c>
      <c r="P6" s="25">
        <v>0</v>
      </c>
      <c r="Q6" s="25">
        <v>10.34</v>
      </c>
      <c r="R6" s="25">
        <v>20.68</v>
      </c>
      <c r="S6" s="25">
        <v>0</v>
      </c>
      <c r="T6" s="25">
        <v>0</v>
      </c>
      <c r="U6" s="25">
        <v>10.34</v>
      </c>
      <c r="V6" s="25">
        <v>10.34</v>
      </c>
      <c r="W6" s="25">
        <v>0</v>
      </c>
      <c r="X6" s="25">
        <v>0</v>
      </c>
      <c r="Y6" s="25">
        <v>0</v>
      </c>
      <c r="Z6" s="25">
        <v>0</v>
      </c>
      <c r="AA6" s="25">
        <v>0</v>
      </c>
      <c r="AB6" s="25">
        <v>0</v>
      </c>
      <c r="AC6" s="25">
        <v>10.34</v>
      </c>
      <c r="AD6" s="25">
        <v>10.34</v>
      </c>
      <c r="AE6" s="25">
        <v>0</v>
      </c>
      <c r="AF6" s="25">
        <v>0</v>
      </c>
      <c r="AG6" s="25">
        <v>20.68</v>
      </c>
      <c r="AH6" s="25">
        <v>36.19</v>
      </c>
      <c r="AI6" s="25" t="s">
        <v>88</v>
      </c>
      <c r="AJ6" s="25" t="s">
        <v>89</v>
      </c>
    </row>
    <row r="7" spans="1:36" x14ac:dyDescent="0.25">
      <c r="A7" s="26" t="s">
        <v>99</v>
      </c>
      <c r="B7" t="s">
        <v>100</v>
      </c>
      <c r="C7" s="25">
        <v>0</v>
      </c>
      <c r="D7" s="25">
        <v>0</v>
      </c>
      <c r="E7" s="25">
        <v>3.85</v>
      </c>
      <c r="F7" s="25">
        <v>4.5599999999999996</v>
      </c>
      <c r="G7" s="25">
        <v>231.2</v>
      </c>
      <c r="H7" s="25">
        <v>47.98</v>
      </c>
      <c r="I7" s="25">
        <v>311.79000000000002</v>
      </c>
      <c r="J7" s="25">
        <v>162.97999999999999</v>
      </c>
      <c r="K7" s="25">
        <v>286.41000000000003</v>
      </c>
      <c r="L7" s="25">
        <v>157.91</v>
      </c>
      <c r="M7" s="25">
        <v>1134.52</v>
      </c>
      <c r="N7" s="25">
        <v>854.16</v>
      </c>
      <c r="O7" s="25">
        <v>405.58</v>
      </c>
      <c r="P7" s="25">
        <v>361.04</v>
      </c>
      <c r="Q7" s="25">
        <v>1521.33</v>
      </c>
      <c r="R7" s="25">
        <v>1956.59</v>
      </c>
      <c r="S7" s="25">
        <v>422.73</v>
      </c>
      <c r="T7" s="25">
        <v>1253.96</v>
      </c>
      <c r="U7" s="25">
        <v>1174.99</v>
      </c>
      <c r="V7" s="25">
        <v>2785.13</v>
      </c>
      <c r="W7" s="25">
        <v>1371.61</v>
      </c>
      <c r="X7" s="25">
        <v>296.10000000000002</v>
      </c>
      <c r="Y7" s="25">
        <v>1671.54</v>
      </c>
      <c r="Z7" s="25">
        <v>303</v>
      </c>
      <c r="AA7" s="25">
        <v>720.83</v>
      </c>
      <c r="AB7" s="25">
        <v>559.95000000000005</v>
      </c>
      <c r="AC7" s="25">
        <v>1647.39</v>
      </c>
      <c r="AD7" s="25">
        <v>2115.77</v>
      </c>
      <c r="AE7" s="25">
        <v>766.17</v>
      </c>
      <c r="AF7" s="25">
        <v>1304.5</v>
      </c>
      <c r="AG7" s="25">
        <v>5190.53</v>
      </c>
      <c r="AH7" s="25">
        <v>5324.77</v>
      </c>
      <c r="AI7" s="25" t="s">
        <v>101</v>
      </c>
      <c r="AJ7" s="25" t="s">
        <v>89</v>
      </c>
    </row>
    <row r="8" spans="1:36" x14ac:dyDescent="0.25">
      <c r="A8" s="26" t="s">
        <v>102</v>
      </c>
      <c r="B8" t="s">
        <v>103</v>
      </c>
      <c r="C8" s="25">
        <v>0</v>
      </c>
      <c r="D8" s="25">
        <v>0</v>
      </c>
      <c r="E8" s="25">
        <v>9.89</v>
      </c>
      <c r="F8" s="25">
        <v>0</v>
      </c>
      <c r="G8" s="25">
        <v>5</v>
      </c>
      <c r="H8" s="25">
        <v>4.95</v>
      </c>
      <c r="I8" s="25">
        <v>9.9499999999999993</v>
      </c>
      <c r="J8" s="25">
        <v>0</v>
      </c>
      <c r="K8" s="25">
        <v>4.9800000000000004</v>
      </c>
      <c r="L8" s="25">
        <v>4.9800000000000004</v>
      </c>
      <c r="M8" s="25">
        <v>4.97</v>
      </c>
      <c r="N8" s="25">
        <v>4.97</v>
      </c>
      <c r="O8" s="25">
        <v>0</v>
      </c>
      <c r="P8" s="25">
        <v>0</v>
      </c>
      <c r="Q8" s="25">
        <v>14.91</v>
      </c>
      <c r="R8" s="25">
        <v>24.91</v>
      </c>
      <c r="S8" s="25">
        <v>5</v>
      </c>
      <c r="T8" s="25">
        <v>14.95</v>
      </c>
      <c r="U8" s="25">
        <v>4.95</v>
      </c>
      <c r="V8" s="25">
        <v>19.88</v>
      </c>
      <c r="W8" s="25">
        <v>4.9800000000000004</v>
      </c>
      <c r="X8" s="25">
        <v>9.9700000000000006</v>
      </c>
      <c r="Y8" s="25">
        <v>24.83</v>
      </c>
      <c r="Z8" s="25">
        <v>4.95</v>
      </c>
      <c r="AA8" s="25">
        <v>0</v>
      </c>
      <c r="AB8" s="25">
        <v>0</v>
      </c>
      <c r="AC8" s="25">
        <v>24.76</v>
      </c>
      <c r="AD8" s="25">
        <v>39.590000000000003</v>
      </c>
      <c r="AE8" s="25">
        <v>0</v>
      </c>
      <c r="AF8" s="25">
        <v>9.99</v>
      </c>
      <c r="AG8" s="25">
        <v>44.88</v>
      </c>
      <c r="AH8" s="25">
        <v>64.790000000000006</v>
      </c>
      <c r="AI8" s="25" t="s">
        <v>88</v>
      </c>
      <c r="AJ8" s="25" t="s">
        <v>89</v>
      </c>
    </row>
    <row r="9" spans="1:36" x14ac:dyDescent="0.25">
      <c r="A9" s="26" t="s">
        <v>104</v>
      </c>
      <c r="B9" t="s">
        <v>105</v>
      </c>
      <c r="C9" s="25">
        <v>0</v>
      </c>
      <c r="D9" s="25">
        <v>0</v>
      </c>
      <c r="E9" s="25">
        <v>0</v>
      </c>
      <c r="F9" s="25">
        <v>0</v>
      </c>
      <c r="G9" s="25">
        <v>0</v>
      </c>
      <c r="H9" s="25">
        <v>0</v>
      </c>
      <c r="I9" s="25">
        <v>5</v>
      </c>
      <c r="J9" s="25">
        <v>5</v>
      </c>
      <c r="K9" s="25">
        <v>0</v>
      </c>
      <c r="L9" s="25">
        <v>0</v>
      </c>
      <c r="M9" s="25">
        <v>15</v>
      </c>
      <c r="N9" s="25">
        <v>5</v>
      </c>
      <c r="O9" s="25">
        <v>0</v>
      </c>
      <c r="P9" s="25">
        <v>0</v>
      </c>
      <c r="Q9" s="25">
        <v>15</v>
      </c>
      <c r="R9" s="25">
        <v>35</v>
      </c>
      <c r="S9" s="25">
        <v>0</v>
      </c>
      <c r="T9" s="25">
        <v>0</v>
      </c>
      <c r="U9" s="25">
        <v>20</v>
      </c>
      <c r="V9" s="25">
        <v>35</v>
      </c>
      <c r="W9" s="25">
        <v>0</v>
      </c>
      <c r="X9" s="25">
        <v>0</v>
      </c>
      <c r="Y9" s="25">
        <v>5</v>
      </c>
      <c r="Z9" s="25">
        <v>0</v>
      </c>
      <c r="AA9" s="25">
        <v>10</v>
      </c>
      <c r="AB9" s="25">
        <v>10</v>
      </c>
      <c r="AC9" s="25">
        <v>30</v>
      </c>
      <c r="AD9" s="25">
        <v>30</v>
      </c>
      <c r="AE9" s="25">
        <v>0</v>
      </c>
      <c r="AF9" s="25">
        <v>5</v>
      </c>
      <c r="AG9" s="25">
        <v>45</v>
      </c>
      <c r="AH9" s="25">
        <v>50</v>
      </c>
      <c r="AI9" s="25" t="s">
        <v>94</v>
      </c>
      <c r="AJ9" s="25" t="s">
        <v>89</v>
      </c>
    </row>
    <row r="10" spans="1:36" x14ac:dyDescent="0.25">
      <c r="A10" s="26" t="s">
        <v>106</v>
      </c>
      <c r="B10" t="s">
        <v>107</v>
      </c>
      <c r="C10" s="25">
        <v>0</v>
      </c>
      <c r="D10" s="25">
        <v>0</v>
      </c>
      <c r="E10" s="25">
        <v>0</v>
      </c>
      <c r="F10" s="25">
        <v>0</v>
      </c>
      <c r="G10" s="25">
        <v>0</v>
      </c>
      <c r="H10" s="25">
        <v>0</v>
      </c>
      <c r="I10" s="25">
        <v>5.05</v>
      </c>
      <c r="J10" s="25">
        <v>5.05</v>
      </c>
      <c r="K10" s="25">
        <v>20.190000000000001</v>
      </c>
      <c r="L10" s="25">
        <v>0</v>
      </c>
      <c r="M10" s="25">
        <v>65.599999999999994</v>
      </c>
      <c r="N10" s="25">
        <v>40.369999999999997</v>
      </c>
      <c r="O10" s="25">
        <v>0</v>
      </c>
      <c r="P10" s="25">
        <v>10.09</v>
      </c>
      <c r="Q10" s="25">
        <v>95.88</v>
      </c>
      <c r="R10" s="25">
        <v>100.93</v>
      </c>
      <c r="S10" s="25">
        <v>0</v>
      </c>
      <c r="T10" s="25">
        <v>5.05</v>
      </c>
      <c r="U10" s="25">
        <v>15.14</v>
      </c>
      <c r="V10" s="25">
        <v>121.11</v>
      </c>
      <c r="W10" s="25">
        <v>15.14</v>
      </c>
      <c r="X10" s="25">
        <v>0</v>
      </c>
      <c r="Y10" s="25">
        <v>100.93</v>
      </c>
      <c r="Z10" s="25">
        <v>15.14</v>
      </c>
      <c r="AA10" s="25">
        <v>5.05</v>
      </c>
      <c r="AB10" s="25">
        <v>0</v>
      </c>
      <c r="AC10" s="25">
        <v>131.21</v>
      </c>
      <c r="AD10" s="25">
        <v>126.16</v>
      </c>
      <c r="AE10" s="25">
        <v>20.190000000000001</v>
      </c>
      <c r="AF10" s="25">
        <v>90.83</v>
      </c>
      <c r="AG10" s="25">
        <v>161.19999999999999</v>
      </c>
      <c r="AH10" s="25">
        <v>160.91</v>
      </c>
      <c r="AI10" s="25" t="s">
        <v>94</v>
      </c>
      <c r="AJ10" s="25" t="s">
        <v>89</v>
      </c>
    </row>
    <row r="11" spans="1:36" x14ac:dyDescent="0.25">
      <c r="A11" s="26" t="s">
        <v>108</v>
      </c>
      <c r="B11" t="s">
        <v>109</v>
      </c>
      <c r="C11" s="25">
        <v>0</v>
      </c>
      <c r="D11" s="25">
        <v>0</v>
      </c>
      <c r="E11" s="25">
        <v>0</v>
      </c>
      <c r="F11" s="25">
        <v>0</v>
      </c>
      <c r="G11" s="25">
        <v>5.19</v>
      </c>
      <c r="H11" s="25">
        <v>0</v>
      </c>
      <c r="I11" s="25">
        <v>35.99</v>
      </c>
      <c r="J11" s="25">
        <v>15.57</v>
      </c>
      <c r="K11" s="25">
        <v>0</v>
      </c>
      <c r="L11" s="25">
        <v>0</v>
      </c>
      <c r="M11" s="25">
        <v>82.95</v>
      </c>
      <c r="N11" s="25">
        <v>62.35</v>
      </c>
      <c r="O11" s="25">
        <v>0</v>
      </c>
      <c r="P11" s="25">
        <v>0</v>
      </c>
      <c r="Q11" s="25">
        <v>51.75</v>
      </c>
      <c r="R11" s="25">
        <v>88.36</v>
      </c>
      <c r="S11" s="25">
        <v>0</v>
      </c>
      <c r="T11" s="25">
        <v>5.2</v>
      </c>
      <c r="U11" s="25">
        <v>25.98</v>
      </c>
      <c r="V11" s="25">
        <v>31.15</v>
      </c>
      <c r="W11" s="25">
        <v>10.4</v>
      </c>
      <c r="X11" s="25">
        <v>10.39</v>
      </c>
      <c r="Y11" s="25">
        <v>57.17</v>
      </c>
      <c r="Z11" s="25">
        <v>10.41</v>
      </c>
      <c r="AA11" s="25">
        <v>5.2</v>
      </c>
      <c r="AB11" s="25">
        <v>0</v>
      </c>
      <c r="AC11" s="25">
        <v>67.459999999999994</v>
      </c>
      <c r="AD11" s="25">
        <v>57.08</v>
      </c>
      <c r="AE11" s="25">
        <v>0</v>
      </c>
      <c r="AF11" s="25">
        <v>15.6</v>
      </c>
      <c r="AG11" s="25">
        <v>206.62</v>
      </c>
      <c r="AH11" s="25">
        <v>160.56</v>
      </c>
      <c r="AI11" s="25" t="s">
        <v>88</v>
      </c>
      <c r="AJ11" s="25" t="s">
        <v>89</v>
      </c>
    </row>
    <row r="12" spans="1:36" x14ac:dyDescent="0.25">
      <c r="A12" s="26" t="s">
        <v>110</v>
      </c>
      <c r="B12" t="s">
        <v>111</v>
      </c>
      <c r="C12" s="25">
        <v>0</v>
      </c>
      <c r="D12" s="25">
        <v>0</v>
      </c>
      <c r="E12" s="25">
        <v>0</v>
      </c>
      <c r="F12" s="25">
        <v>0</v>
      </c>
      <c r="G12" s="25">
        <v>25.3</v>
      </c>
      <c r="H12" s="25">
        <v>5.07</v>
      </c>
      <c r="I12" s="25">
        <v>81.11</v>
      </c>
      <c r="J12" s="25">
        <v>45.25</v>
      </c>
      <c r="K12" s="25">
        <v>9.9600000000000009</v>
      </c>
      <c r="L12" s="25">
        <v>26.32</v>
      </c>
      <c r="M12" s="25">
        <v>359.57</v>
      </c>
      <c r="N12" s="25">
        <v>247.96</v>
      </c>
      <c r="O12" s="25">
        <v>33.39</v>
      </c>
      <c r="P12" s="25">
        <v>39.479999999999997</v>
      </c>
      <c r="Q12" s="25">
        <v>303.95</v>
      </c>
      <c r="R12" s="25">
        <v>389.83</v>
      </c>
      <c r="S12" s="25">
        <v>9.18</v>
      </c>
      <c r="T12" s="25">
        <v>73.680000000000007</v>
      </c>
      <c r="U12" s="25">
        <v>106.05</v>
      </c>
      <c r="V12" s="25">
        <v>359.5</v>
      </c>
      <c r="W12" s="25">
        <v>71.010000000000005</v>
      </c>
      <c r="X12" s="25">
        <v>0</v>
      </c>
      <c r="Y12" s="25">
        <v>242.9</v>
      </c>
      <c r="Z12" s="25">
        <v>30.23</v>
      </c>
      <c r="AA12" s="25">
        <v>15.31</v>
      </c>
      <c r="AB12" s="25">
        <v>10.24</v>
      </c>
      <c r="AC12" s="25">
        <v>290.23</v>
      </c>
      <c r="AD12" s="25">
        <v>381.52</v>
      </c>
      <c r="AE12" s="25">
        <v>42.5</v>
      </c>
      <c r="AF12" s="25">
        <v>66.709999999999994</v>
      </c>
      <c r="AG12" s="25">
        <v>682.79</v>
      </c>
      <c r="AH12" s="25">
        <v>697.97</v>
      </c>
      <c r="AI12" s="25" t="s">
        <v>88</v>
      </c>
      <c r="AJ12" s="25" t="s">
        <v>89</v>
      </c>
    </row>
    <row r="13" spans="1:36" x14ac:dyDescent="0.25">
      <c r="A13" s="26" t="s">
        <v>112</v>
      </c>
      <c r="B13" t="s">
        <v>113</v>
      </c>
      <c r="C13" s="25">
        <v>0</v>
      </c>
      <c r="D13" s="25">
        <v>0</v>
      </c>
      <c r="E13" s="25">
        <v>0</v>
      </c>
      <c r="F13" s="25">
        <v>0</v>
      </c>
      <c r="G13" s="25">
        <v>5.01</v>
      </c>
      <c r="H13" s="25">
        <v>5.01</v>
      </c>
      <c r="I13" s="25">
        <v>75.13</v>
      </c>
      <c r="J13" s="25">
        <v>15.03</v>
      </c>
      <c r="K13" s="25">
        <v>35.06</v>
      </c>
      <c r="L13" s="25">
        <v>20.03</v>
      </c>
      <c r="M13" s="25">
        <v>375.64</v>
      </c>
      <c r="N13" s="25">
        <v>225.38</v>
      </c>
      <c r="O13" s="25">
        <v>30.05</v>
      </c>
      <c r="P13" s="25">
        <v>65.11</v>
      </c>
      <c r="Q13" s="25">
        <v>400.68</v>
      </c>
      <c r="R13" s="25">
        <v>520.88</v>
      </c>
      <c r="S13" s="25">
        <v>30.05</v>
      </c>
      <c r="T13" s="25">
        <v>105.18</v>
      </c>
      <c r="U13" s="25">
        <v>370.63</v>
      </c>
      <c r="V13" s="25">
        <v>756.28</v>
      </c>
      <c r="W13" s="25">
        <v>145.25</v>
      </c>
      <c r="X13" s="25">
        <v>85.14</v>
      </c>
      <c r="Y13" s="25">
        <v>395.67</v>
      </c>
      <c r="Z13" s="25">
        <v>55.09</v>
      </c>
      <c r="AA13" s="25">
        <v>80.14</v>
      </c>
      <c r="AB13" s="25">
        <v>64.59</v>
      </c>
      <c r="AC13" s="25">
        <v>699.62</v>
      </c>
      <c r="AD13" s="25">
        <v>798.51</v>
      </c>
      <c r="AE13" s="25">
        <v>120.47</v>
      </c>
      <c r="AF13" s="25">
        <v>115.2</v>
      </c>
      <c r="AG13" s="25">
        <v>1102.4000000000001</v>
      </c>
      <c r="AH13" s="25">
        <v>937.12</v>
      </c>
      <c r="AI13" s="25" t="s">
        <v>94</v>
      </c>
      <c r="AJ13" s="25" t="s">
        <v>89</v>
      </c>
    </row>
    <row r="14" spans="1:36" x14ac:dyDescent="0.25">
      <c r="A14" s="26" t="s">
        <v>114</v>
      </c>
      <c r="B14" t="s">
        <v>115</v>
      </c>
      <c r="C14" s="25">
        <v>0</v>
      </c>
      <c r="D14" s="25">
        <v>0</v>
      </c>
      <c r="E14" s="25">
        <v>0</v>
      </c>
      <c r="F14" s="25">
        <v>0</v>
      </c>
      <c r="G14" s="25">
        <v>0</v>
      </c>
      <c r="H14" s="25">
        <v>0</v>
      </c>
      <c r="I14" s="25">
        <v>24.96</v>
      </c>
      <c r="J14" s="25">
        <v>0</v>
      </c>
      <c r="K14" s="25">
        <v>14.95</v>
      </c>
      <c r="L14" s="25">
        <v>4.97</v>
      </c>
      <c r="M14" s="25">
        <v>54.83</v>
      </c>
      <c r="N14" s="25">
        <v>29.92</v>
      </c>
      <c r="O14" s="25">
        <v>0</v>
      </c>
      <c r="P14" s="25">
        <v>0</v>
      </c>
      <c r="Q14" s="25">
        <v>79.77</v>
      </c>
      <c r="R14" s="25">
        <v>99.73</v>
      </c>
      <c r="S14" s="25">
        <v>0</v>
      </c>
      <c r="T14" s="25">
        <v>19.940000000000001</v>
      </c>
      <c r="U14" s="25">
        <v>55.02</v>
      </c>
      <c r="V14" s="25">
        <v>99.74</v>
      </c>
      <c r="W14" s="25">
        <v>4.97</v>
      </c>
      <c r="X14" s="25">
        <v>5.0199999999999996</v>
      </c>
      <c r="Y14" s="25">
        <v>89.73</v>
      </c>
      <c r="Z14" s="25">
        <v>39.93</v>
      </c>
      <c r="AA14" s="25">
        <v>25.03</v>
      </c>
      <c r="AB14" s="25">
        <v>15.04</v>
      </c>
      <c r="AC14" s="25">
        <v>125.14</v>
      </c>
      <c r="AD14" s="25">
        <v>145.35</v>
      </c>
      <c r="AE14" s="25">
        <v>4.97</v>
      </c>
      <c r="AF14" s="25">
        <v>14.98</v>
      </c>
      <c r="AG14" s="25">
        <v>164.01</v>
      </c>
      <c r="AH14" s="25">
        <v>194.03</v>
      </c>
      <c r="AI14" s="25" t="s">
        <v>94</v>
      </c>
      <c r="AJ14" s="25" t="s">
        <v>89</v>
      </c>
    </row>
    <row r="15" spans="1:36" x14ac:dyDescent="0.25">
      <c r="A15" s="26" t="s">
        <v>116</v>
      </c>
      <c r="B15" t="s">
        <v>117</v>
      </c>
      <c r="C15" s="25">
        <v>0</v>
      </c>
      <c r="D15" s="25">
        <v>0</v>
      </c>
      <c r="E15" s="25">
        <v>10.029999999999999</v>
      </c>
      <c r="F15" s="25">
        <v>0</v>
      </c>
      <c r="G15" s="25">
        <v>30.07</v>
      </c>
      <c r="H15" s="25">
        <v>5.01</v>
      </c>
      <c r="I15" s="25">
        <v>105.24</v>
      </c>
      <c r="J15" s="25">
        <v>20.05</v>
      </c>
      <c r="K15" s="25">
        <v>40.11</v>
      </c>
      <c r="L15" s="25">
        <v>10.02</v>
      </c>
      <c r="M15" s="25">
        <v>531.24</v>
      </c>
      <c r="N15" s="25">
        <v>345.84</v>
      </c>
      <c r="O15" s="25">
        <v>30.07</v>
      </c>
      <c r="P15" s="25">
        <v>35.1</v>
      </c>
      <c r="Q15" s="25">
        <v>190.51</v>
      </c>
      <c r="R15" s="25">
        <v>340.8</v>
      </c>
      <c r="S15" s="25">
        <v>20.05</v>
      </c>
      <c r="T15" s="25">
        <v>60.14</v>
      </c>
      <c r="U15" s="25">
        <v>200.36</v>
      </c>
      <c r="V15" s="25">
        <v>265.66000000000003</v>
      </c>
      <c r="W15" s="25">
        <v>25.07</v>
      </c>
      <c r="X15" s="25">
        <v>10.02</v>
      </c>
      <c r="Y15" s="25">
        <v>130.33000000000001</v>
      </c>
      <c r="Z15" s="25">
        <v>20.05</v>
      </c>
      <c r="AA15" s="25">
        <v>35.08</v>
      </c>
      <c r="AB15" s="25">
        <v>55.15</v>
      </c>
      <c r="AC15" s="25">
        <v>361.04</v>
      </c>
      <c r="AD15" s="25">
        <v>341.01</v>
      </c>
      <c r="AE15" s="25">
        <v>20.05</v>
      </c>
      <c r="AF15" s="25">
        <v>45.1</v>
      </c>
      <c r="AG15" s="25">
        <v>616.24</v>
      </c>
      <c r="AH15" s="25">
        <v>711.49</v>
      </c>
      <c r="AI15" s="25" t="s">
        <v>88</v>
      </c>
      <c r="AJ15" s="25" t="s">
        <v>89</v>
      </c>
    </row>
    <row r="16" spans="1:36" x14ac:dyDescent="0.25">
      <c r="A16" s="26" t="s">
        <v>118</v>
      </c>
      <c r="B16" t="s">
        <v>119</v>
      </c>
      <c r="C16" s="25">
        <v>0</v>
      </c>
      <c r="D16" s="25">
        <v>0</v>
      </c>
      <c r="E16" s="25">
        <v>5</v>
      </c>
      <c r="F16" s="25">
        <v>0</v>
      </c>
      <c r="G16" s="25">
        <v>0</v>
      </c>
      <c r="H16" s="25">
        <v>0</v>
      </c>
      <c r="I16" s="25">
        <v>5</v>
      </c>
      <c r="J16" s="25">
        <v>0</v>
      </c>
      <c r="K16" s="25">
        <v>0</v>
      </c>
      <c r="L16" s="25">
        <v>0</v>
      </c>
      <c r="M16" s="25">
        <v>0</v>
      </c>
      <c r="N16" s="25">
        <v>0</v>
      </c>
      <c r="O16" s="25">
        <v>0</v>
      </c>
      <c r="P16" s="25">
        <v>0</v>
      </c>
      <c r="Q16" s="25">
        <v>10</v>
      </c>
      <c r="R16" s="25">
        <v>0</v>
      </c>
      <c r="S16" s="25">
        <v>0</v>
      </c>
      <c r="T16" s="25">
        <v>5</v>
      </c>
      <c r="U16" s="25">
        <v>5</v>
      </c>
      <c r="V16" s="25">
        <v>25</v>
      </c>
      <c r="W16" s="25">
        <v>0</v>
      </c>
      <c r="X16" s="25">
        <v>0</v>
      </c>
      <c r="Y16" s="25">
        <v>15</v>
      </c>
      <c r="Z16" s="25">
        <v>5</v>
      </c>
      <c r="AA16" s="25">
        <v>0</v>
      </c>
      <c r="AB16" s="25">
        <v>0</v>
      </c>
      <c r="AC16" s="25">
        <v>5</v>
      </c>
      <c r="AD16" s="25">
        <v>10</v>
      </c>
      <c r="AE16" s="25">
        <v>0</v>
      </c>
      <c r="AF16" s="25">
        <v>0</v>
      </c>
      <c r="AG16" s="25">
        <v>10</v>
      </c>
      <c r="AH16" s="25">
        <v>20</v>
      </c>
      <c r="AI16" s="25" t="s">
        <v>88</v>
      </c>
      <c r="AJ16" s="25" t="s">
        <v>89</v>
      </c>
    </row>
    <row r="17" spans="1:36" x14ac:dyDescent="0.25">
      <c r="A17" s="26" t="s">
        <v>120</v>
      </c>
      <c r="B17" t="s">
        <v>121</v>
      </c>
      <c r="C17" s="25">
        <v>0</v>
      </c>
      <c r="D17" s="25">
        <v>0</v>
      </c>
      <c r="E17" s="25">
        <v>5</v>
      </c>
      <c r="F17" s="25">
        <v>0</v>
      </c>
      <c r="G17" s="25">
        <v>0</v>
      </c>
      <c r="H17" s="25">
        <v>0</v>
      </c>
      <c r="I17" s="25">
        <v>0</v>
      </c>
      <c r="J17" s="25">
        <v>0</v>
      </c>
      <c r="K17" s="25">
        <v>0</v>
      </c>
      <c r="L17" s="25">
        <v>0</v>
      </c>
      <c r="M17" s="25">
        <v>15</v>
      </c>
      <c r="N17" s="25">
        <v>5</v>
      </c>
      <c r="O17" s="25">
        <v>0</v>
      </c>
      <c r="P17" s="25">
        <v>0</v>
      </c>
      <c r="Q17" s="25">
        <v>15</v>
      </c>
      <c r="R17" s="25">
        <v>45</v>
      </c>
      <c r="S17" s="25">
        <v>0</v>
      </c>
      <c r="T17" s="25">
        <v>0</v>
      </c>
      <c r="U17" s="25">
        <v>0</v>
      </c>
      <c r="V17" s="25">
        <v>40</v>
      </c>
      <c r="W17" s="25">
        <v>5</v>
      </c>
      <c r="X17" s="25">
        <v>0</v>
      </c>
      <c r="Y17" s="25">
        <v>40</v>
      </c>
      <c r="Z17" s="25">
        <v>10</v>
      </c>
      <c r="AA17" s="25">
        <v>0</v>
      </c>
      <c r="AB17" s="25">
        <v>5</v>
      </c>
      <c r="AC17" s="25">
        <v>65</v>
      </c>
      <c r="AD17" s="25">
        <v>40</v>
      </c>
      <c r="AE17" s="25">
        <v>0</v>
      </c>
      <c r="AF17" s="25">
        <v>0</v>
      </c>
      <c r="AG17" s="25">
        <v>40</v>
      </c>
      <c r="AH17" s="25">
        <v>65</v>
      </c>
      <c r="AI17" s="25" t="s">
        <v>94</v>
      </c>
      <c r="AJ17" s="25" t="s">
        <v>89</v>
      </c>
    </row>
    <row r="18" spans="1:36" x14ac:dyDescent="0.25">
      <c r="A18" s="26" t="s">
        <v>122</v>
      </c>
      <c r="B18" t="s">
        <v>123</v>
      </c>
      <c r="C18" s="25">
        <v>0</v>
      </c>
      <c r="D18" s="25">
        <v>0</v>
      </c>
      <c r="E18" s="25">
        <v>0</v>
      </c>
      <c r="F18" s="25">
        <v>0</v>
      </c>
      <c r="G18" s="25">
        <v>0</v>
      </c>
      <c r="H18" s="25">
        <v>0</v>
      </c>
      <c r="I18" s="25">
        <v>0</v>
      </c>
      <c r="J18" s="25">
        <v>0</v>
      </c>
      <c r="K18" s="25">
        <v>0</v>
      </c>
      <c r="L18" s="25">
        <v>0</v>
      </c>
      <c r="M18" s="25">
        <v>9.6199999999999992</v>
      </c>
      <c r="N18" s="25">
        <v>0</v>
      </c>
      <c r="O18" s="25">
        <v>0</v>
      </c>
      <c r="P18" s="25">
        <v>0</v>
      </c>
      <c r="Q18" s="25">
        <v>4.8099999999999996</v>
      </c>
      <c r="R18" s="25">
        <v>4.8099999999999996</v>
      </c>
      <c r="S18" s="25">
        <v>0</v>
      </c>
      <c r="T18" s="25">
        <v>0</v>
      </c>
      <c r="U18" s="25">
        <v>0</v>
      </c>
      <c r="V18" s="25">
        <v>14.44</v>
      </c>
      <c r="W18" s="25">
        <v>0</v>
      </c>
      <c r="X18" s="25">
        <v>0</v>
      </c>
      <c r="Y18" s="25">
        <v>4.8099999999999996</v>
      </c>
      <c r="Z18" s="25">
        <v>0</v>
      </c>
      <c r="AA18" s="25">
        <v>4.8099999999999996</v>
      </c>
      <c r="AB18" s="25">
        <v>4.8099999999999996</v>
      </c>
      <c r="AC18" s="25">
        <v>9.6199999999999992</v>
      </c>
      <c r="AD18" s="25">
        <v>4.8099999999999996</v>
      </c>
      <c r="AE18" s="25">
        <v>0</v>
      </c>
      <c r="AF18" s="25">
        <v>0</v>
      </c>
      <c r="AG18" s="25">
        <v>4.8099999999999996</v>
      </c>
      <c r="AH18" s="25">
        <v>14.44</v>
      </c>
      <c r="AI18" s="25" t="s">
        <v>88</v>
      </c>
      <c r="AJ18" s="25" t="s">
        <v>89</v>
      </c>
    </row>
    <row r="19" spans="1:36" x14ac:dyDescent="0.25">
      <c r="A19" s="26" t="s">
        <v>124</v>
      </c>
      <c r="B19" t="s">
        <v>125</v>
      </c>
      <c r="C19" s="25">
        <v>0</v>
      </c>
      <c r="D19" s="25">
        <v>0</v>
      </c>
      <c r="E19" s="25">
        <v>0</v>
      </c>
      <c r="F19" s="25">
        <v>0</v>
      </c>
      <c r="G19" s="25">
        <v>0</v>
      </c>
      <c r="H19" s="25">
        <v>0</v>
      </c>
      <c r="I19" s="25">
        <v>20</v>
      </c>
      <c r="J19" s="25">
        <v>5</v>
      </c>
      <c r="K19" s="25">
        <v>5</v>
      </c>
      <c r="L19" s="25">
        <v>0</v>
      </c>
      <c r="M19" s="25">
        <v>40</v>
      </c>
      <c r="N19" s="25">
        <v>25</v>
      </c>
      <c r="O19" s="25">
        <v>0</v>
      </c>
      <c r="P19" s="25">
        <v>0</v>
      </c>
      <c r="Q19" s="25">
        <v>35</v>
      </c>
      <c r="R19" s="25">
        <v>50</v>
      </c>
      <c r="S19" s="25">
        <v>0</v>
      </c>
      <c r="T19" s="25">
        <v>10</v>
      </c>
      <c r="U19" s="25">
        <v>10</v>
      </c>
      <c r="V19" s="25">
        <v>30</v>
      </c>
      <c r="W19" s="25">
        <v>5</v>
      </c>
      <c r="X19" s="25">
        <v>0</v>
      </c>
      <c r="Y19" s="25">
        <v>25</v>
      </c>
      <c r="Z19" s="25">
        <v>5</v>
      </c>
      <c r="AA19" s="25">
        <v>10</v>
      </c>
      <c r="AB19" s="25">
        <v>10</v>
      </c>
      <c r="AC19" s="25">
        <v>40</v>
      </c>
      <c r="AD19" s="25">
        <v>75</v>
      </c>
      <c r="AE19" s="25">
        <v>0</v>
      </c>
      <c r="AF19" s="25">
        <v>0</v>
      </c>
      <c r="AG19" s="25">
        <v>95</v>
      </c>
      <c r="AH19" s="25">
        <v>50</v>
      </c>
      <c r="AI19" s="25" t="s">
        <v>88</v>
      </c>
      <c r="AJ19" s="25" t="s">
        <v>89</v>
      </c>
    </row>
    <row r="20" spans="1:36" x14ac:dyDescent="0.25">
      <c r="A20" s="26" t="s">
        <v>126</v>
      </c>
      <c r="B20" t="s">
        <v>127</v>
      </c>
      <c r="C20" s="25">
        <v>0</v>
      </c>
      <c r="D20" s="25">
        <v>0</v>
      </c>
      <c r="E20" s="25">
        <v>0</v>
      </c>
      <c r="F20" s="25">
        <v>0</v>
      </c>
      <c r="G20" s="25">
        <v>10</v>
      </c>
      <c r="H20" s="25">
        <v>0</v>
      </c>
      <c r="I20" s="25">
        <v>15</v>
      </c>
      <c r="J20" s="25">
        <v>5</v>
      </c>
      <c r="K20" s="25">
        <v>0</v>
      </c>
      <c r="L20" s="25">
        <v>0</v>
      </c>
      <c r="M20" s="25">
        <v>55</v>
      </c>
      <c r="N20" s="25">
        <v>30</v>
      </c>
      <c r="O20" s="25">
        <v>0</v>
      </c>
      <c r="P20" s="25">
        <v>10</v>
      </c>
      <c r="Q20" s="25">
        <v>105</v>
      </c>
      <c r="R20" s="25">
        <v>80</v>
      </c>
      <c r="S20" s="25">
        <v>0</v>
      </c>
      <c r="T20" s="25">
        <v>40</v>
      </c>
      <c r="U20" s="25">
        <v>35</v>
      </c>
      <c r="V20" s="25">
        <v>140</v>
      </c>
      <c r="W20" s="25">
        <v>55</v>
      </c>
      <c r="X20" s="25">
        <v>5</v>
      </c>
      <c r="Y20" s="25">
        <v>140</v>
      </c>
      <c r="Z20" s="25">
        <v>15</v>
      </c>
      <c r="AA20" s="25">
        <v>15</v>
      </c>
      <c r="AB20" s="25">
        <v>10</v>
      </c>
      <c r="AC20" s="25">
        <v>110</v>
      </c>
      <c r="AD20" s="25">
        <v>115</v>
      </c>
      <c r="AE20" s="25">
        <v>0</v>
      </c>
      <c r="AF20" s="25">
        <v>5</v>
      </c>
      <c r="AG20" s="25">
        <v>155</v>
      </c>
      <c r="AH20" s="25">
        <v>175</v>
      </c>
      <c r="AI20" s="25" t="s">
        <v>94</v>
      </c>
      <c r="AJ20" s="25" t="s">
        <v>89</v>
      </c>
    </row>
    <row r="21" spans="1:36" x14ac:dyDescent="0.25">
      <c r="A21" s="26" t="s">
        <v>128</v>
      </c>
      <c r="B21" t="s">
        <v>129</v>
      </c>
      <c r="C21" s="25">
        <v>0</v>
      </c>
      <c r="D21" s="25">
        <v>0</v>
      </c>
      <c r="E21" s="25">
        <v>9.8800000000000008</v>
      </c>
      <c r="F21" s="25">
        <v>4.9000000000000004</v>
      </c>
      <c r="G21" s="25">
        <v>4.9800000000000004</v>
      </c>
      <c r="H21" s="25">
        <v>4.9800000000000004</v>
      </c>
      <c r="I21" s="25">
        <v>10.39</v>
      </c>
      <c r="J21" s="25">
        <v>4.9000000000000004</v>
      </c>
      <c r="K21" s="25">
        <v>0</v>
      </c>
      <c r="L21" s="25">
        <v>0</v>
      </c>
      <c r="M21" s="25">
        <v>50.34</v>
      </c>
      <c r="N21" s="25">
        <v>5.07</v>
      </c>
      <c r="O21" s="25">
        <v>0</v>
      </c>
      <c r="P21" s="25">
        <v>0</v>
      </c>
      <c r="Q21" s="25">
        <v>25.42</v>
      </c>
      <c r="R21" s="25">
        <v>70.599999999999994</v>
      </c>
      <c r="S21" s="25">
        <v>0</v>
      </c>
      <c r="T21" s="25">
        <v>0</v>
      </c>
      <c r="U21" s="25">
        <v>14.95</v>
      </c>
      <c r="V21" s="25">
        <v>60.64</v>
      </c>
      <c r="W21" s="25">
        <v>4.9000000000000004</v>
      </c>
      <c r="X21" s="25">
        <v>0</v>
      </c>
      <c r="Y21" s="25">
        <v>66.3</v>
      </c>
      <c r="Z21" s="25">
        <v>14.87</v>
      </c>
      <c r="AA21" s="25">
        <v>0</v>
      </c>
      <c r="AB21" s="25">
        <v>0</v>
      </c>
      <c r="AC21" s="25">
        <v>56.75</v>
      </c>
      <c r="AD21" s="25">
        <v>46.45</v>
      </c>
      <c r="AE21" s="25">
        <v>0</v>
      </c>
      <c r="AF21" s="25">
        <v>0</v>
      </c>
      <c r="AG21" s="25">
        <v>159.57</v>
      </c>
      <c r="AH21" s="25">
        <v>74.84</v>
      </c>
      <c r="AI21" s="25" t="s">
        <v>88</v>
      </c>
      <c r="AJ21" s="25" t="s">
        <v>89</v>
      </c>
    </row>
    <row r="22" spans="1:36" x14ac:dyDescent="0.25">
      <c r="A22" s="26" t="s">
        <v>130</v>
      </c>
      <c r="B22" t="s">
        <v>131</v>
      </c>
      <c r="C22" s="25">
        <v>0</v>
      </c>
      <c r="D22" s="25">
        <v>0</v>
      </c>
      <c r="E22" s="25">
        <v>0</v>
      </c>
      <c r="F22" s="25">
        <v>0</v>
      </c>
      <c r="G22" s="25">
        <v>0</v>
      </c>
      <c r="H22" s="25">
        <v>0</v>
      </c>
      <c r="I22" s="25">
        <v>70</v>
      </c>
      <c r="J22" s="25">
        <v>15</v>
      </c>
      <c r="K22" s="25">
        <v>10</v>
      </c>
      <c r="L22" s="25">
        <v>0</v>
      </c>
      <c r="M22" s="25">
        <v>270</v>
      </c>
      <c r="N22" s="25">
        <v>140</v>
      </c>
      <c r="O22" s="25">
        <v>10</v>
      </c>
      <c r="P22" s="25">
        <v>10</v>
      </c>
      <c r="Q22" s="25">
        <v>270</v>
      </c>
      <c r="R22" s="25">
        <v>400</v>
      </c>
      <c r="S22" s="25">
        <v>0</v>
      </c>
      <c r="T22" s="25">
        <v>30</v>
      </c>
      <c r="U22" s="25">
        <v>140</v>
      </c>
      <c r="V22" s="25">
        <v>405</v>
      </c>
      <c r="W22" s="25">
        <v>30</v>
      </c>
      <c r="X22" s="25">
        <v>5</v>
      </c>
      <c r="Y22" s="25">
        <v>215</v>
      </c>
      <c r="Z22" s="25">
        <v>20</v>
      </c>
      <c r="AA22" s="25">
        <v>20</v>
      </c>
      <c r="AB22" s="25">
        <v>10</v>
      </c>
      <c r="AC22" s="25">
        <v>370</v>
      </c>
      <c r="AD22" s="25">
        <v>380</v>
      </c>
      <c r="AE22" s="25">
        <v>35</v>
      </c>
      <c r="AF22" s="25">
        <v>20</v>
      </c>
      <c r="AG22" s="25">
        <v>555</v>
      </c>
      <c r="AH22" s="25">
        <v>470</v>
      </c>
      <c r="AI22" s="25" t="s">
        <v>94</v>
      </c>
      <c r="AJ22" s="25" t="s">
        <v>89</v>
      </c>
    </row>
    <row r="23" spans="1:36" x14ac:dyDescent="0.25">
      <c r="A23" s="26" t="s">
        <v>132</v>
      </c>
      <c r="B23" t="s">
        <v>133</v>
      </c>
      <c r="C23" s="25">
        <v>0</v>
      </c>
      <c r="D23" s="25">
        <v>0</v>
      </c>
      <c r="E23" s="25">
        <v>0</v>
      </c>
      <c r="F23" s="25">
        <v>0</v>
      </c>
      <c r="G23" s="25">
        <v>30.65</v>
      </c>
      <c r="H23" s="25">
        <v>20.58</v>
      </c>
      <c r="I23" s="25">
        <v>146.88</v>
      </c>
      <c r="J23" s="25">
        <v>36.75</v>
      </c>
      <c r="K23" s="25">
        <v>31.58</v>
      </c>
      <c r="L23" s="25">
        <v>36.75</v>
      </c>
      <c r="M23" s="25">
        <v>599.52</v>
      </c>
      <c r="N23" s="25">
        <v>306.25</v>
      </c>
      <c r="O23" s="25">
        <v>73.14</v>
      </c>
      <c r="P23" s="25">
        <v>57.76</v>
      </c>
      <c r="Q23" s="25">
        <v>603.55999999999995</v>
      </c>
      <c r="R23" s="25">
        <v>750.33</v>
      </c>
      <c r="S23" s="25">
        <v>25.39</v>
      </c>
      <c r="T23" s="25">
        <v>67.8</v>
      </c>
      <c r="U23" s="25">
        <v>350.58</v>
      </c>
      <c r="V23" s="25">
        <v>879.97</v>
      </c>
      <c r="W23" s="25">
        <v>63.02</v>
      </c>
      <c r="X23" s="25">
        <v>15.27</v>
      </c>
      <c r="Y23" s="25">
        <v>483</v>
      </c>
      <c r="Z23" s="25">
        <v>90.12</v>
      </c>
      <c r="AA23" s="25">
        <v>85.55</v>
      </c>
      <c r="AB23" s="25">
        <v>97.17</v>
      </c>
      <c r="AC23" s="25">
        <v>719.31</v>
      </c>
      <c r="AD23" s="25">
        <v>929.38</v>
      </c>
      <c r="AE23" s="25">
        <v>44.09</v>
      </c>
      <c r="AF23" s="25">
        <v>82.65</v>
      </c>
      <c r="AG23" s="25">
        <v>1249.72</v>
      </c>
      <c r="AH23" s="25">
        <v>1518.83</v>
      </c>
      <c r="AI23" s="25" t="s">
        <v>88</v>
      </c>
      <c r="AJ23" s="25" t="s">
        <v>89</v>
      </c>
    </row>
    <row r="24" spans="1:36" x14ac:dyDescent="0.25">
      <c r="A24" s="26" t="s">
        <v>134</v>
      </c>
      <c r="B24" t="s">
        <v>135</v>
      </c>
      <c r="C24" s="25">
        <v>0</v>
      </c>
      <c r="D24" s="25">
        <v>0</v>
      </c>
      <c r="E24" s="25">
        <v>0</v>
      </c>
      <c r="F24" s="25">
        <v>0</v>
      </c>
      <c r="G24" s="25">
        <v>0</v>
      </c>
      <c r="H24" s="25">
        <v>0</v>
      </c>
      <c r="I24" s="25">
        <v>5</v>
      </c>
      <c r="J24" s="25">
        <v>0</v>
      </c>
      <c r="K24" s="25">
        <v>5</v>
      </c>
      <c r="L24" s="25">
        <v>0</v>
      </c>
      <c r="M24" s="25">
        <v>105</v>
      </c>
      <c r="N24" s="25">
        <v>55</v>
      </c>
      <c r="O24" s="25">
        <v>0</v>
      </c>
      <c r="P24" s="25">
        <v>5</v>
      </c>
      <c r="Q24" s="25">
        <v>25</v>
      </c>
      <c r="R24" s="25">
        <v>60</v>
      </c>
      <c r="S24" s="25">
        <v>0</v>
      </c>
      <c r="T24" s="25">
        <v>10</v>
      </c>
      <c r="U24" s="25">
        <v>0</v>
      </c>
      <c r="V24" s="25">
        <v>10</v>
      </c>
      <c r="W24" s="25">
        <v>5</v>
      </c>
      <c r="X24" s="25">
        <v>0</v>
      </c>
      <c r="Y24" s="25">
        <v>0</v>
      </c>
      <c r="Z24" s="25">
        <v>0</v>
      </c>
      <c r="AA24" s="25">
        <v>0</v>
      </c>
      <c r="AB24" s="25">
        <v>0</v>
      </c>
      <c r="AC24" s="25">
        <v>60</v>
      </c>
      <c r="AD24" s="25">
        <v>65</v>
      </c>
      <c r="AE24" s="25">
        <v>0</v>
      </c>
      <c r="AF24" s="25">
        <v>10</v>
      </c>
      <c r="AG24" s="25">
        <v>95</v>
      </c>
      <c r="AH24" s="25">
        <v>115</v>
      </c>
      <c r="AI24" s="25" t="s">
        <v>94</v>
      </c>
      <c r="AJ24" s="25" t="s">
        <v>89</v>
      </c>
    </row>
    <row r="25" spans="1:36" x14ac:dyDescent="0.25">
      <c r="A25" s="26" t="s">
        <v>136</v>
      </c>
      <c r="B25" t="s">
        <v>137</v>
      </c>
      <c r="C25" s="25">
        <v>0</v>
      </c>
      <c r="D25" s="25">
        <v>0</v>
      </c>
      <c r="E25" s="25">
        <v>0</v>
      </c>
      <c r="F25" s="25">
        <v>0</v>
      </c>
      <c r="G25" s="25">
        <v>0</v>
      </c>
      <c r="H25" s="25">
        <v>0</v>
      </c>
      <c r="I25" s="25">
        <v>31.05</v>
      </c>
      <c r="J25" s="25">
        <v>5.18</v>
      </c>
      <c r="K25" s="25">
        <v>10.35</v>
      </c>
      <c r="L25" s="25">
        <v>5.18</v>
      </c>
      <c r="M25" s="25">
        <v>113.85</v>
      </c>
      <c r="N25" s="25">
        <v>113.85</v>
      </c>
      <c r="O25" s="25">
        <v>20.7</v>
      </c>
      <c r="P25" s="25">
        <v>10.35</v>
      </c>
      <c r="Q25" s="25">
        <v>175.95</v>
      </c>
      <c r="R25" s="25">
        <v>139.72999999999999</v>
      </c>
      <c r="S25" s="25">
        <v>0</v>
      </c>
      <c r="T25" s="25">
        <v>10.35</v>
      </c>
      <c r="U25" s="25">
        <v>103.27</v>
      </c>
      <c r="V25" s="25">
        <v>201.59</v>
      </c>
      <c r="W25" s="25">
        <v>20.7</v>
      </c>
      <c r="X25" s="25">
        <v>0</v>
      </c>
      <c r="Y25" s="25">
        <v>107.98</v>
      </c>
      <c r="Z25" s="25">
        <v>50.59</v>
      </c>
      <c r="AA25" s="25">
        <v>5.18</v>
      </c>
      <c r="AB25" s="25">
        <v>10.35</v>
      </c>
      <c r="AC25" s="25">
        <v>237.82</v>
      </c>
      <c r="AD25" s="25">
        <v>222.53</v>
      </c>
      <c r="AE25" s="25">
        <v>20.53</v>
      </c>
      <c r="AF25" s="25">
        <v>20.7</v>
      </c>
      <c r="AG25" s="25">
        <v>289.63</v>
      </c>
      <c r="AH25" s="25">
        <v>263.93</v>
      </c>
      <c r="AI25" s="25" t="s">
        <v>94</v>
      </c>
      <c r="AJ25" s="25" t="s">
        <v>89</v>
      </c>
    </row>
    <row r="26" spans="1:36" x14ac:dyDescent="0.25">
      <c r="A26" s="26" t="s">
        <v>138</v>
      </c>
      <c r="B26" t="s">
        <v>139</v>
      </c>
      <c r="C26" s="25">
        <v>0</v>
      </c>
      <c r="D26" s="25">
        <v>0</v>
      </c>
      <c r="E26" s="25">
        <v>0</v>
      </c>
      <c r="F26" s="25">
        <v>0</v>
      </c>
      <c r="G26" s="25">
        <v>28.43</v>
      </c>
      <c r="H26" s="25">
        <v>9.48</v>
      </c>
      <c r="I26" s="25">
        <v>56.86</v>
      </c>
      <c r="J26" s="25">
        <v>42.64</v>
      </c>
      <c r="K26" s="25">
        <v>80.55</v>
      </c>
      <c r="L26" s="25">
        <v>52.12</v>
      </c>
      <c r="M26" s="25">
        <v>336.4</v>
      </c>
      <c r="N26" s="25">
        <v>293.76</v>
      </c>
      <c r="O26" s="25">
        <v>85.29</v>
      </c>
      <c r="P26" s="25">
        <v>90.02</v>
      </c>
      <c r="Q26" s="25">
        <v>469.07</v>
      </c>
      <c r="R26" s="25">
        <v>568.57000000000005</v>
      </c>
      <c r="S26" s="25">
        <v>28.43</v>
      </c>
      <c r="T26" s="25">
        <v>208.74</v>
      </c>
      <c r="U26" s="25">
        <v>208.47</v>
      </c>
      <c r="V26" s="25">
        <v>611.21</v>
      </c>
      <c r="W26" s="25">
        <v>99.5</v>
      </c>
      <c r="X26" s="25">
        <v>23.69</v>
      </c>
      <c r="Y26" s="25">
        <v>255.86</v>
      </c>
      <c r="Z26" s="25">
        <v>28.43</v>
      </c>
      <c r="AA26" s="25">
        <v>71.069999999999993</v>
      </c>
      <c r="AB26" s="25">
        <v>52.12</v>
      </c>
      <c r="AC26" s="25">
        <v>499.73</v>
      </c>
      <c r="AD26" s="25">
        <v>739.32</v>
      </c>
      <c r="AE26" s="25">
        <v>87.12</v>
      </c>
      <c r="AF26" s="25">
        <v>186.1</v>
      </c>
      <c r="AG26" s="25">
        <v>1127.92</v>
      </c>
      <c r="AH26" s="25">
        <v>1184.48</v>
      </c>
      <c r="AI26" s="25" t="s">
        <v>88</v>
      </c>
      <c r="AJ26" s="25" t="s">
        <v>89</v>
      </c>
    </row>
    <row r="27" spans="1:36" x14ac:dyDescent="0.25">
      <c r="A27" s="26" t="s">
        <v>140</v>
      </c>
      <c r="B27" t="s">
        <v>141</v>
      </c>
      <c r="C27" s="25">
        <v>0</v>
      </c>
      <c r="D27" s="25">
        <v>0</v>
      </c>
      <c r="E27" s="25">
        <v>4.99</v>
      </c>
      <c r="F27" s="25">
        <v>0</v>
      </c>
      <c r="G27" s="25">
        <v>4.99</v>
      </c>
      <c r="H27" s="25">
        <v>0</v>
      </c>
      <c r="I27" s="25">
        <v>9.98</v>
      </c>
      <c r="J27" s="25">
        <v>4.99</v>
      </c>
      <c r="K27" s="25">
        <v>0</v>
      </c>
      <c r="L27" s="25">
        <v>0</v>
      </c>
      <c r="M27" s="25">
        <v>14.96</v>
      </c>
      <c r="N27" s="25">
        <v>4.99</v>
      </c>
      <c r="O27" s="25">
        <v>0</v>
      </c>
      <c r="P27" s="25">
        <v>0</v>
      </c>
      <c r="Q27" s="25">
        <v>29.93</v>
      </c>
      <c r="R27" s="25">
        <v>24.94</v>
      </c>
      <c r="S27" s="25">
        <v>0</v>
      </c>
      <c r="T27" s="25">
        <v>9.98</v>
      </c>
      <c r="U27" s="25">
        <v>14.96</v>
      </c>
      <c r="V27" s="25">
        <v>59.86</v>
      </c>
      <c r="W27" s="25">
        <v>9.98</v>
      </c>
      <c r="X27" s="25">
        <v>0</v>
      </c>
      <c r="Y27" s="25">
        <v>19.95</v>
      </c>
      <c r="Z27" s="25">
        <v>9.98</v>
      </c>
      <c r="AA27" s="25">
        <v>0</v>
      </c>
      <c r="AB27" s="25">
        <v>0</v>
      </c>
      <c r="AC27" s="25">
        <v>24.94</v>
      </c>
      <c r="AD27" s="25">
        <v>44.89</v>
      </c>
      <c r="AE27" s="25">
        <v>0</v>
      </c>
      <c r="AF27" s="25">
        <v>0</v>
      </c>
      <c r="AG27" s="25">
        <v>39.909999999999997</v>
      </c>
      <c r="AH27" s="25">
        <v>79.81</v>
      </c>
      <c r="AI27" s="25" t="s">
        <v>88</v>
      </c>
      <c r="AJ27" s="25" t="s">
        <v>89</v>
      </c>
    </row>
    <row r="28" spans="1:36" x14ac:dyDescent="0.25">
      <c r="A28" s="26" t="s">
        <v>142</v>
      </c>
      <c r="B28" t="s">
        <v>143</v>
      </c>
      <c r="C28" s="25">
        <v>0</v>
      </c>
      <c r="D28" s="25">
        <v>0</v>
      </c>
      <c r="E28" s="25">
        <v>5.05</v>
      </c>
      <c r="F28" s="25">
        <v>0</v>
      </c>
      <c r="G28" s="25">
        <v>0</v>
      </c>
      <c r="H28" s="25">
        <v>0</v>
      </c>
      <c r="I28" s="25">
        <v>55.52</v>
      </c>
      <c r="J28" s="25">
        <v>10.09</v>
      </c>
      <c r="K28" s="25">
        <v>5.05</v>
      </c>
      <c r="L28" s="25">
        <v>0</v>
      </c>
      <c r="M28" s="25">
        <v>116.08</v>
      </c>
      <c r="N28" s="25">
        <v>85.8</v>
      </c>
      <c r="O28" s="25">
        <v>5.05</v>
      </c>
      <c r="P28" s="25">
        <v>10.09</v>
      </c>
      <c r="Q28" s="25">
        <v>232.16</v>
      </c>
      <c r="R28" s="25">
        <v>222.07</v>
      </c>
      <c r="S28" s="25">
        <v>0</v>
      </c>
      <c r="T28" s="25">
        <v>45.42</v>
      </c>
      <c r="U28" s="25">
        <v>121.13</v>
      </c>
      <c r="V28" s="25">
        <v>282.63</v>
      </c>
      <c r="W28" s="25">
        <v>25.24</v>
      </c>
      <c r="X28" s="25">
        <v>5.05</v>
      </c>
      <c r="Y28" s="25">
        <v>176.65</v>
      </c>
      <c r="Z28" s="25">
        <v>15.14</v>
      </c>
      <c r="AA28" s="25">
        <v>60.15</v>
      </c>
      <c r="AB28" s="25">
        <v>20.190000000000001</v>
      </c>
      <c r="AC28" s="25">
        <v>352.47</v>
      </c>
      <c r="AD28" s="25">
        <v>381.31</v>
      </c>
      <c r="AE28" s="25">
        <v>20.05</v>
      </c>
      <c r="AF28" s="25">
        <v>15.14</v>
      </c>
      <c r="AG28" s="25">
        <v>333.1</v>
      </c>
      <c r="AH28" s="25">
        <v>373.08</v>
      </c>
      <c r="AI28" s="25" t="s">
        <v>94</v>
      </c>
      <c r="AJ28" s="25" t="s">
        <v>89</v>
      </c>
    </row>
    <row r="29" spans="1:36" x14ac:dyDescent="0.25">
      <c r="A29" s="26" t="s">
        <v>144</v>
      </c>
      <c r="B29" t="s">
        <v>145</v>
      </c>
      <c r="C29" s="25">
        <v>0</v>
      </c>
      <c r="D29" s="25">
        <v>0</v>
      </c>
      <c r="E29" s="25">
        <v>0</v>
      </c>
      <c r="F29" s="25">
        <v>0</v>
      </c>
      <c r="G29" s="25">
        <v>0</v>
      </c>
      <c r="H29" s="25">
        <v>0</v>
      </c>
      <c r="I29" s="25">
        <v>15.05</v>
      </c>
      <c r="J29" s="25">
        <v>5.0199999999999996</v>
      </c>
      <c r="K29" s="25">
        <v>0</v>
      </c>
      <c r="L29" s="25">
        <v>0</v>
      </c>
      <c r="M29" s="25">
        <v>30.09</v>
      </c>
      <c r="N29" s="25">
        <v>35.11</v>
      </c>
      <c r="O29" s="25">
        <v>5.0199999999999996</v>
      </c>
      <c r="P29" s="25">
        <v>0</v>
      </c>
      <c r="Q29" s="25">
        <v>65.2</v>
      </c>
      <c r="R29" s="25">
        <v>90.28</v>
      </c>
      <c r="S29" s="25">
        <v>0</v>
      </c>
      <c r="T29" s="25">
        <v>0</v>
      </c>
      <c r="U29" s="25">
        <v>30.09</v>
      </c>
      <c r="V29" s="25">
        <v>45.14</v>
      </c>
      <c r="W29" s="25">
        <v>0</v>
      </c>
      <c r="X29" s="25">
        <v>0</v>
      </c>
      <c r="Y29" s="25">
        <v>30.09</v>
      </c>
      <c r="Z29" s="25">
        <v>10.029999999999999</v>
      </c>
      <c r="AA29" s="25">
        <v>0</v>
      </c>
      <c r="AB29" s="25">
        <v>0</v>
      </c>
      <c r="AC29" s="25">
        <v>55.17</v>
      </c>
      <c r="AD29" s="25">
        <v>60.19</v>
      </c>
      <c r="AE29" s="25">
        <v>0</v>
      </c>
      <c r="AF29" s="25">
        <v>0</v>
      </c>
      <c r="AG29" s="25">
        <v>65.2</v>
      </c>
      <c r="AH29" s="25">
        <v>125.39</v>
      </c>
      <c r="AI29" s="25" t="s">
        <v>88</v>
      </c>
      <c r="AJ29" s="25" t="s">
        <v>89</v>
      </c>
    </row>
    <row r="30" spans="1:36" x14ac:dyDescent="0.25">
      <c r="A30" s="26" t="s">
        <v>146</v>
      </c>
      <c r="B30" t="s">
        <v>147</v>
      </c>
      <c r="C30" s="25">
        <v>1.08</v>
      </c>
      <c r="D30" s="25">
        <v>0</v>
      </c>
      <c r="E30" s="25">
        <v>3.44</v>
      </c>
      <c r="F30" s="25">
        <v>0</v>
      </c>
      <c r="G30" s="25">
        <v>89.66</v>
      </c>
      <c r="H30" s="25">
        <v>41</v>
      </c>
      <c r="I30" s="25">
        <v>160.44</v>
      </c>
      <c r="J30" s="25">
        <v>79.09</v>
      </c>
      <c r="K30" s="25">
        <v>265.74</v>
      </c>
      <c r="L30" s="25">
        <v>119.19</v>
      </c>
      <c r="M30" s="25">
        <v>1383.41</v>
      </c>
      <c r="N30" s="25">
        <v>1010.18</v>
      </c>
      <c r="O30" s="25">
        <v>328.76</v>
      </c>
      <c r="P30" s="25">
        <v>280.3</v>
      </c>
      <c r="Q30" s="25">
        <v>1426.37</v>
      </c>
      <c r="R30" s="25">
        <v>1928.81</v>
      </c>
      <c r="S30" s="25">
        <v>233.43</v>
      </c>
      <c r="T30" s="25">
        <v>695.17</v>
      </c>
      <c r="U30" s="25">
        <v>914.79</v>
      </c>
      <c r="V30" s="25">
        <v>2086.9</v>
      </c>
      <c r="W30" s="25">
        <v>574.70000000000005</v>
      </c>
      <c r="X30" s="25">
        <v>201.83</v>
      </c>
      <c r="Y30" s="25">
        <v>1366.35</v>
      </c>
      <c r="Z30" s="25">
        <v>257.83999999999997</v>
      </c>
      <c r="AA30" s="25">
        <v>226.17</v>
      </c>
      <c r="AB30" s="25">
        <v>244.05</v>
      </c>
      <c r="AC30" s="25">
        <v>1463.3</v>
      </c>
      <c r="AD30" s="25">
        <v>1812.14</v>
      </c>
      <c r="AE30" s="25">
        <v>276.43</v>
      </c>
      <c r="AF30" s="25">
        <v>582.4</v>
      </c>
      <c r="AG30" s="25">
        <v>4266.32</v>
      </c>
      <c r="AH30" s="25">
        <v>4200.72</v>
      </c>
      <c r="AI30" s="25" t="s">
        <v>88</v>
      </c>
      <c r="AJ30" s="25" t="s">
        <v>89</v>
      </c>
    </row>
    <row r="31" spans="1:36" x14ac:dyDescent="0.25">
      <c r="A31" s="26" t="s">
        <v>148</v>
      </c>
      <c r="B31" t="s">
        <v>149</v>
      </c>
      <c r="C31" s="25">
        <v>5.03</v>
      </c>
      <c r="D31" s="25">
        <v>0</v>
      </c>
      <c r="E31" s="25">
        <v>5.03</v>
      </c>
      <c r="F31" s="25">
        <v>0</v>
      </c>
      <c r="G31" s="25">
        <v>30.17</v>
      </c>
      <c r="H31" s="25">
        <v>0</v>
      </c>
      <c r="I31" s="25">
        <v>155.88</v>
      </c>
      <c r="J31" s="25">
        <v>30.17</v>
      </c>
      <c r="K31" s="25">
        <v>25.14</v>
      </c>
      <c r="L31" s="25">
        <v>15.09</v>
      </c>
      <c r="M31" s="25">
        <v>512.9</v>
      </c>
      <c r="N31" s="25">
        <v>271.52999999999997</v>
      </c>
      <c r="O31" s="25">
        <v>45.26</v>
      </c>
      <c r="P31" s="25">
        <v>55.31</v>
      </c>
      <c r="Q31" s="25">
        <v>583.29</v>
      </c>
      <c r="R31" s="25">
        <v>668.78</v>
      </c>
      <c r="S31" s="25">
        <v>30.17</v>
      </c>
      <c r="T31" s="25">
        <v>90.51</v>
      </c>
      <c r="U31" s="25">
        <v>241.36</v>
      </c>
      <c r="V31" s="25">
        <v>734.15</v>
      </c>
      <c r="W31" s="25">
        <v>90.51</v>
      </c>
      <c r="X31" s="25">
        <v>40.229999999999997</v>
      </c>
      <c r="Y31" s="25">
        <v>407.3</v>
      </c>
      <c r="Z31" s="25">
        <v>85.48</v>
      </c>
      <c r="AA31" s="25">
        <v>95.54</v>
      </c>
      <c r="AB31" s="25">
        <v>100.57</v>
      </c>
      <c r="AC31" s="25">
        <v>573.21</v>
      </c>
      <c r="AD31" s="25">
        <v>774.04</v>
      </c>
      <c r="AE31" s="25">
        <v>35.200000000000003</v>
      </c>
      <c r="AF31" s="25">
        <v>105.6</v>
      </c>
      <c r="AG31" s="25">
        <v>1156.53</v>
      </c>
      <c r="AH31" s="25">
        <v>1412.98</v>
      </c>
      <c r="AI31" s="25" t="s">
        <v>88</v>
      </c>
      <c r="AJ31" s="25" t="s">
        <v>89</v>
      </c>
    </row>
    <row r="32" spans="1:36" x14ac:dyDescent="0.25">
      <c r="A32" s="26" t="s">
        <v>150</v>
      </c>
      <c r="B32" t="s">
        <v>151</v>
      </c>
      <c r="C32" s="25">
        <v>0</v>
      </c>
      <c r="D32" s="25">
        <v>0</v>
      </c>
      <c r="E32" s="25">
        <v>0</v>
      </c>
      <c r="F32" s="25">
        <v>0</v>
      </c>
      <c r="G32" s="25">
        <v>5</v>
      </c>
      <c r="H32" s="25">
        <v>0</v>
      </c>
      <c r="I32" s="25">
        <v>25</v>
      </c>
      <c r="J32" s="25">
        <v>15</v>
      </c>
      <c r="K32" s="25">
        <v>10</v>
      </c>
      <c r="L32" s="25">
        <v>5</v>
      </c>
      <c r="M32" s="25">
        <v>45</v>
      </c>
      <c r="N32" s="25">
        <v>40</v>
      </c>
      <c r="O32" s="25">
        <v>10</v>
      </c>
      <c r="P32" s="25">
        <v>5</v>
      </c>
      <c r="Q32" s="25">
        <v>135</v>
      </c>
      <c r="R32" s="25">
        <v>110</v>
      </c>
      <c r="S32" s="25">
        <v>10</v>
      </c>
      <c r="T32" s="25">
        <v>5</v>
      </c>
      <c r="U32" s="25">
        <v>15</v>
      </c>
      <c r="V32" s="25">
        <v>110</v>
      </c>
      <c r="W32" s="25">
        <v>20</v>
      </c>
      <c r="X32" s="25">
        <v>5</v>
      </c>
      <c r="Y32" s="25">
        <v>55</v>
      </c>
      <c r="Z32" s="25">
        <v>15</v>
      </c>
      <c r="AA32" s="25">
        <v>25</v>
      </c>
      <c r="AB32" s="25">
        <v>15</v>
      </c>
      <c r="AC32" s="25">
        <v>90</v>
      </c>
      <c r="AD32" s="25">
        <v>140</v>
      </c>
      <c r="AE32" s="25">
        <v>0</v>
      </c>
      <c r="AF32" s="25">
        <v>0</v>
      </c>
      <c r="AG32" s="25">
        <v>140</v>
      </c>
      <c r="AH32" s="25">
        <v>185</v>
      </c>
      <c r="AI32" s="25" t="s">
        <v>94</v>
      </c>
      <c r="AJ32" s="25" t="s">
        <v>89</v>
      </c>
    </row>
    <row r="33" spans="1:36" x14ac:dyDescent="0.25">
      <c r="A33" s="26" t="s">
        <v>152</v>
      </c>
      <c r="B33" t="s">
        <v>153</v>
      </c>
      <c r="C33" s="25">
        <v>0</v>
      </c>
      <c r="D33" s="25">
        <v>0</v>
      </c>
      <c r="E33" s="25">
        <v>5</v>
      </c>
      <c r="F33" s="25">
        <v>0</v>
      </c>
      <c r="G33" s="25">
        <v>0</v>
      </c>
      <c r="H33" s="25">
        <v>0</v>
      </c>
      <c r="I33" s="25">
        <v>15</v>
      </c>
      <c r="J33" s="25">
        <v>0</v>
      </c>
      <c r="K33" s="25">
        <v>5</v>
      </c>
      <c r="L33" s="25">
        <v>0</v>
      </c>
      <c r="M33" s="25">
        <v>60</v>
      </c>
      <c r="N33" s="25">
        <v>45</v>
      </c>
      <c r="O33" s="25">
        <v>10</v>
      </c>
      <c r="P33" s="25">
        <v>10</v>
      </c>
      <c r="Q33" s="25">
        <v>55</v>
      </c>
      <c r="R33" s="25">
        <v>125</v>
      </c>
      <c r="S33" s="25">
        <v>0</v>
      </c>
      <c r="T33" s="25">
        <v>20</v>
      </c>
      <c r="U33" s="25">
        <v>40</v>
      </c>
      <c r="V33" s="25">
        <v>115</v>
      </c>
      <c r="W33" s="25">
        <v>35</v>
      </c>
      <c r="X33" s="25">
        <v>0</v>
      </c>
      <c r="Y33" s="25">
        <v>50</v>
      </c>
      <c r="Z33" s="25">
        <v>15</v>
      </c>
      <c r="AA33" s="25">
        <v>5</v>
      </c>
      <c r="AB33" s="25">
        <v>5</v>
      </c>
      <c r="AC33" s="25">
        <v>105</v>
      </c>
      <c r="AD33" s="25">
        <v>125</v>
      </c>
      <c r="AE33" s="25">
        <v>0</v>
      </c>
      <c r="AF33" s="25">
        <v>5</v>
      </c>
      <c r="AG33" s="25">
        <v>205</v>
      </c>
      <c r="AH33" s="25">
        <v>180</v>
      </c>
      <c r="AI33" s="25" t="s">
        <v>88</v>
      </c>
      <c r="AJ33" s="25" t="s">
        <v>89</v>
      </c>
    </row>
    <row r="34" spans="1:36" x14ac:dyDescent="0.25">
      <c r="A34" s="26" t="s">
        <v>154</v>
      </c>
      <c r="B34" t="s">
        <v>155</v>
      </c>
      <c r="C34" s="25">
        <v>0</v>
      </c>
      <c r="D34" s="25">
        <v>0</v>
      </c>
      <c r="E34" s="25">
        <v>10.119999999999999</v>
      </c>
      <c r="F34" s="25">
        <v>0</v>
      </c>
      <c r="G34" s="25">
        <v>25.3</v>
      </c>
      <c r="H34" s="25">
        <v>0</v>
      </c>
      <c r="I34" s="25">
        <v>35.43</v>
      </c>
      <c r="J34" s="25">
        <v>5.0599999999999996</v>
      </c>
      <c r="K34" s="25">
        <v>5.0599999999999996</v>
      </c>
      <c r="L34" s="25">
        <v>20.239999999999998</v>
      </c>
      <c r="M34" s="25">
        <v>323.89</v>
      </c>
      <c r="N34" s="25">
        <v>222.68</v>
      </c>
      <c r="O34" s="25">
        <v>10.119999999999999</v>
      </c>
      <c r="P34" s="25">
        <v>10.119999999999999</v>
      </c>
      <c r="Q34" s="25">
        <v>241.73</v>
      </c>
      <c r="R34" s="25">
        <v>263.16000000000003</v>
      </c>
      <c r="S34" s="25">
        <v>10.119999999999999</v>
      </c>
      <c r="T34" s="25">
        <v>50.61</v>
      </c>
      <c r="U34" s="25">
        <v>109.55</v>
      </c>
      <c r="V34" s="25">
        <v>247.98</v>
      </c>
      <c r="W34" s="25">
        <v>40.49</v>
      </c>
      <c r="X34" s="25">
        <v>0</v>
      </c>
      <c r="Y34" s="25">
        <v>121.46</v>
      </c>
      <c r="Z34" s="25">
        <v>20.239999999999998</v>
      </c>
      <c r="AA34" s="25">
        <v>35.43</v>
      </c>
      <c r="AB34" s="25">
        <v>30.36</v>
      </c>
      <c r="AC34" s="25">
        <v>287.27999999999997</v>
      </c>
      <c r="AD34" s="25">
        <v>332.82</v>
      </c>
      <c r="AE34" s="25">
        <v>10.119999999999999</v>
      </c>
      <c r="AF34" s="25">
        <v>30.36</v>
      </c>
      <c r="AG34" s="25">
        <v>433.45</v>
      </c>
      <c r="AH34" s="25">
        <v>489.07</v>
      </c>
      <c r="AI34" s="25" t="s">
        <v>94</v>
      </c>
      <c r="AJ34" s="25" t="s">
        <v>89</v>
      </c>
    </row>
    <row r="35" spans="1:36" x14ac:dyDescent="0.25">
      <c r="A35" s="26" t="s">
        <v>156</v>
      </c>
      <c r="B35" t="s">
        <v>157</v>
      </c>
      <c r="C35" s="25">
        <v>0</v>
      </c>
      <c r="D35" s="25">
        <v>0</v>
      </c>
      <c r="E35" s="25">
        <v>5.24</v>
      </c>
      <c r="F35" s="25">
        <v>5.24</v>
      </c>
      <c r="G35" s="25">
        <v>0</v>
      </c>
      <c r="H35" s="25">
        <v>0</v>
      </c>
      <c r="I35" s="25">
        <v>5.24</v>
      </c>
      <c r="J35" s="25">
        <v>0</v>
      </c>
      <c r="K35" s="25">
        <v>5.24</v>
      </c>
      <c r="L35" s="25">
        <v>0</v>
      </c>
      <c r="M35" s="25">
        <v>5.24</v>
      </c>
      <c r="N35" s="25">
        <v>0</v>
      </c>
      <c r="O35" s="25">
        <v>0</v>
      </c>
      <c r="P35" s="25">
        <v>0</v>
      </c>
      <c r="Q35" s="25">
        <v>0</v>
      </c>
      <c r="R35" s="25">
        <v>5.24</v>
      </c>
      <c r="S35" s="25">
        <v>0</v>
      </c>
      <c r="T35" s="25">
        <v>0</v>
      </c>
      <c r="U35" s="25">
        <v>0</v>
      </c>
      <c r="V35" s="25">
        <v>15.71</v>
      </c>
      <c r="W35" s="25">
        <v>0</v>
      </c>
      <c r="X35" s="25">
        <v>0</v>
      </c>
      <c r="Y35" s="25">
        <v>5.24</v>
      </c>
      <c r="Z35" s="25">
        <v>0</v>
      </c>
      <c r="AA35" s="25">
        <v>0</v>
      </c>
      <c r="AB35" s="25">
        <v>0</v>
      </c>
      <c r="AC35" s="25">
        <v>10.47</v>
      </c>
      <c r="AD35" s="25">
        <v>15.71</v>
      </c>
      <c r="AE35" s="25">
        <v>0</v>
      </c>
      <c r="AF35" s="25">
        <v>5.24</v>
      </c>
      <c r="AG35" s="25">
        <v>10.47</v>
      </c>
      <c r="AH35" s="25">
        <v>20.94</v>
      </c>
      <c r="AI35" s="25" t="s">
        <v>88</v>
      </c>
      <c r="AJ35" s="25" t="s">
        <v>89</v>
      </c>
    </row>
    <row r="36" spans="1:36" x14ac:dyDescent="0.25">
      <c r="A36" s="26" t="s">
        <v>158</v>
      </c>
      <c r="B36" t="s">
        <v>159</v>
      </c>
      <c r="C36" s="25">
        <v>0</v>
      </c>
      <c r="D36" s="25">
        <v>0</v>
      </c>
      <c r="E36" s="25">
        <v>0</v>
      </c>
      <c r="F36" s="25">
        <v>0</v>
      </c>
      <c r="G36" s="25">
        <v>129.46</v>
      </c>
      <c r="H36" s="25">
        <v>30.7</v>
      </c>
      <c r="I36" s="25">
        <v>305.19</v>
      </c>
      <c r="J36" s="25">
        <v>114.47</v>
      </c>
      <c r="K36" s="25">
        <v>185.77</v>
      </c>
      <c r="L36" s="25">
        <v>108.5</v>
      </c>
      <c r="M36" s="25">
        <v>1804.71</v>
      </c>
      <c r="N36" s="25">
        <v>1325.69</v>
      </c>
      <c r="O36" s="25">
        <v>208.48</v>
      </c>
      <c r="P36" s="25">
        <v>187.07</v>
      </c>
      <c r="Q36" s="25">
        <v>1375.84</v>
      </c>
      <c r="R36" s="25">
        <v>1775.2</v>
      </c>
      <c r="S36" s="25">
        <v>122.17</v>
      </c>
      <c r="T36" s="25">
        <v>617.03</v>
      </c>
      <c r="U36" s="25">
        <v>744.18</v>
      </c>
      <c r="V36" s="25">
        <v>1582.01</v>
      </c>
      <c r="W36" s="25">
        <v>441.11</v>
      </c>
      <c r="X36" s="25">
        <v>112.18</v>
      </c>
      <c r="Y36" s="25">
        <v>938.47</v>
      </c>
      <c r="Z36" s="25">
        <v>142.66</v>
      </c>
      <c r="AA36" s="25">
        <v>307.25</v>
      </c>
      <c r="AB36" s="25">
        <v>318.60000000000002</v>
      </c>
      <c r="AC36" s="25">
        <v>1861.85</v>
      </c>
      <c r="AD36" s="25">
        <v>2670.89</v>
      </c>
      <c r="AE36" s="25">
        <v>390</v>
      </c>
      <c r="AF36" s="25">
        <v>504.47</v>
      </c>
      <c r="AG36" s="25">
        <v>3687.39</v>
      </c>
      <c r="AH36" s="25">
        <v>3672.04</v>
      </c>
      <c r="AI36" s="25" t="s">
        <v>88</v>
      </c>
      <c r="AJ36" s="25" t="s">
        <v>89</v>
      </c>
    </row>
    <row r="37" spans="1:36" x14ac:dyDescent="0.25">
      <c r="A37" s="26" t="s">
        <v>160</v>
      </c>
      <c r="B37" t="s">
        <v>161</v>
      </c>
      <c r="C37" s="25">
        <v>0</v>
      </c>
      <c r="D37" s="25">
        <v>0</v>
      </c>
      <c r="E37" s="25">
        <v>4.88</v>
      </c>
      <c r="F37" s="25">
        <v>0</v>
      </c>
      <c r="G37" s="25">
        <v>4.41</v>
      </c>
      <c r="H37" s="25">
        <v>4.41</v>
      </c>
      <c r="I37" s="25">
        <v>25.68</v>
      </c>
      <c r="J37" s="25">
        <v>9.89</v>
      </c>
      <c r="K37" s="25">
        <v>14.64</v>
      </c>
      <c r="L37" s="25">
        <v>5.01</v>
      </c>
      <c r="M37" s="25">
        <v>213.81</v>
      </c>
      <c r="N37" s="25">
        <v>110.43</v>
      </c>
      <c r="O37" s="25">
        <v>5.27</v>
      </c>
      <c r="P37" s="25">
        <v>5.14</v>
      </c>
      <c r="Q37" s="25">
        <v>246.68</v>
      </c>
      <c r="R37" s="25">
        <v>254.66</v>
      </c>
      <c r="S37" s="25">
        <v>0</v>
      </c>
      <c r="T37" s="25">
        <v>39.68</v>
      </c>
      <c r="U37" s="25">
        <v>157.44999999999999</v>
      </c>
      <c r="V37" s="25">
        <v>319.66000000000003</v>
      </c>
      <c r="W37" s="25">
        <v>39.43</v>
      </c>
      <c r="X37" s="25">
        <v>0</v>
      </c>
      <c r="Y37" s="25">
        <v>135.13999999999999</v>
      </c>
      <c r="Z37" s="25">
        <v>34.92</v>
      </c>
      <c r="AA37" s="25">
        <v>19.559999999999999</v>
      </c>
      <c r="AB37" s="25">
        <v>30.09</v>
      </c>
      <c r="AC37" s="25">
        <v>245.75</v>
      </c>
      <c r="AD37" s="25">
        <v>304.2</v>
      </c>
      <c r="AE37" s="25">
        <v>19.64</v>
      </c>
      <c r="AF37" s="25">
        <v>19.52</v>
      </c>
      <c r="AG37" s="25">
        <v>523.32000000000005</v>
      </c>
      <c r="AH37" s="25">
        <v>523.33000000000004</v>
      </c>
      <c r="AI37" s="25" t="s">
        <v>88</v>
      </c>
      <c r="AJ37" s="25" t="s">
        <v>89</v>
      </c>
    </row>
    <row r="38" spans="1:36" x14ac:dyDescent="0.25">
      <c r="A38" s="26" t="s">
        <v>162</v>
      </c>
      <c r="B38" t="s">
        <v>163</v>
      </c>
      <c r="C38" s="25">
        <v>0</v>
      </c>
      <c r="D38" s="25">
        <v>0</v>
      </c>
      <c r="E38" s="25">
        <v>0</v>
      </c>
      <c r="F38" s="25">
        <v>0</v>
      </c>
      <c r="G38" s="25">
        <v>4.75</v>
      </c>
      <c r="H38" s="25">
        <v>0</v>
      </c>
      <c r="I38" s="25">
        <v>4.8600000000000003</v>
      </c>
      <c r="J38" s="25">
        <v>0</v>
      </c>
      <c r="K38" s="25">
        <v>4.97</v>
      </c>
      <c r="L38" s="25">
        <v>0</v>
      </c>
      <c r="M38" s="25">
        <v>30.37</v>
      </c>
      <c r="N38" s="25">
        <v>10.050000000000001</v>
      </c>
      <c r="O38" s="25">
        <v>0</v>
      </c>
      <c r="P38" s="25">
        <v>0</v>
      </c>
      <c r="Q38" s="25">
        <v>34.35</v>
      </c>
      <c r="R38" s="25">
        <v>34.56</v>
      </c>
      <c r="S38" s="25">
        <v>0</v>
      </c>
      <c r="T38" s="25">
        <v>14.58</v>
      </c>
      <c r="U38" s="25">
        <v>9.94</v>
      </c>
      <c r="V38" s="25">
        <v>54.13</v>
      </c>
      <c r="W38" s="25">
        <v>0</v>
      </c>
      <c r="X38" s="25">
        <v>0</v>
      </c>
      <c r="Y38" s="25">
        <v>39.1</v>
      </c>
      <c r="Z38" s="25">
        <v>0</v>
      </c>
      <c r="AA38" s="25">
        <v>0</v>
      </c>
      <c r="AB38" s="25">
        <v>0</v>
      </c>
      <c r="AC38" s="25">
        <v>45.72</v>
      </c>
      <c r="AD38" s="25">
        <v>50.8</v>
      </c>
      <c r="AE38" s="25">
        <v>0</v>
      </c>
      <c r="AF38" s="25">
        <v>0</v>
      </c>
      <c r="AG38" s="25">
        <v>63.51</v>
      </c>
      <c r="AH38" s="25">
        <v>54.22</v>
      </c>
      <c r="AI38" s="25" t="s">
        <v>94</v>
      </c>
      <c r="AJ38" s="25" t="s">
        <v>89</v>
      </c>
    </row>
    <row r="39" spans="1:36" x14ac:dyDescent="0.25">
      <c r="A39" s="26" t="s">
        <v>164</v>
      </c>
      <c r="B39" t="s">
        <v>165</v>
      </c>
      <c r="C39" s="25">
        <v>0</v>
      </c>
      <c r="D39" s="25">
        <v>0</v>
      </c>
      <c r="E39" s="25">
        <v>0</v>
      </c>
      <c r="F39" s="25">
        <v>0</v>
      </c>
      <c r="G39" s="25">
        <v>35.36</v>
      </c>
      <c r="H39" s="25">
        <v>0</v>
      </c>
      <c r="I39" s="25">
        <v>85.95</v>
      </c>
      <c r="J39" s="25">
        <v>30.51</v>
      </c>
      <c r="K39" s="25">
        <v>168.1</v>
      </c>
      <c r="L39" s="25">
        <v>125.98</v>
      </c>
      <c r="M39" s="25">
        <v>1178.1099999999999</v>
      </c>
      <c r="N39" s="25">
        <v>744.43</v>
      </c>
      <c r="O39" s="25">
        <v>50.24</v>
      </c>
      <c r="P39" s="25">
        <v>50.59</v>
      </c>
      <c r="Q39" s="25">
        <v>304.70999999999998</v>
      </c>
      <c r="R39" s="25">
        <v>653.17999999999995</v>
      </c>
      <c r="S39" s="25">
        <v>30.64</v>
      </c>
      <c r="T39" s="25">
        <v>65.38</v>
      </c>
      <c r="U39" s="25">
        <v>158.16</v>
      </c>
      <c r="V39" s="25">
        <v>344.31</v>
      </c>
      <c r="W39" s="25">
        <v>45.65</v>
      </c>
      <c r="X39" s="25">
        <v>25.36</v>
      </c>
      <c r="Y39" s="25">
        <v>199.29</v>
      </c>
      <c r="Z39" s="25">
        <v>10.14</v>
      </c>
      <c r="AA39" s="25">
        <v>117.23</v>
      </c>
      <c r="AB39" s="25">
        <v>97.43</v>
      </c>
      <c r="AC39" s="25">
        <v>857.55</v>
      </c>
      <c r="AD39" s="25">
        <v>1064.3499999999999</v>
      </c>
      <c r="AE39" s="25">
        <v>115.58</v>
      </c>
      <c r="AF39" s="25">
        <v>115.95</v>
      </c>
      <c r="AG39" s="25">
        <v>1468.94</v>
      </c>
      <c r="AH39" s="25">
        <v>1662.35</v>
      </c>
      <c r="AI39" s="25" t="s">
        <v>88</v>
      </c>
      <c r="AJ39" s="25" t="s">
        <v>89</v>
      </c>
    </row>
    <row r="40" spans="1:36" x14ac:dyDescent="0.25">
      <c r="A40" s="26" t="s">
        <v>166</v>
      </c>
      <c r="B40" t="s">
        <v>167</v>
      </c>
      <c r="C40" s="25">
        <v>0</v>
      </c>
      <c r="D40" s="25">
        <v>0</v>
      </c>
      <c r="E40" s="25">
        <v>14.92</v>
      </c>
      <c r="F40" s="25">
        <v>0</v>
      </c>
      <c r="G40" s="25">
        <v>4.97</v>
      </c>
      <c r="H40" s="25">
        <v>9.9499999999999993</v>
      </c>
      <c r="I40" s="25">
        <v>64.66</v>
      </c>
      <c r="J40" s="25">
        <v>29.85</v>
      </c>
      <c r="K40" s="25">
        <v>4.97</v>
      </c>
      <c r="L40" s="25">
        <v>4.97</v>
      </c>
      <c r="M40" s="25">
        <v>154.19999999999999</v>
      </c>
      <c r="N40" s="25">
        <v>144.25</v>
      </c>
      <c r="O40" s="25">
        <v>9.9499999999999993</v>
      </c>
      <c r="P40" s="25">
        <v>14.92</v>
      </c>
      <c r="Q40" s="25">
        <v>228.81</v>
      </c>
      <c r="R40" s="25">
        <v>258.66000000000003</v>
      </c>
      <c r="S40" s="25">
        <v>14.94</v>
      </c>
      <c r="T40" s="25">
        <v>39.79</v>
      </c>
      <c r="U40" s="25">
        <v>89.54</v>
      </c>
      <c r="V40" s="25">
        <v>253.69</v>
      </c>
      <c r="W40" s="25">
        <v>39.79</v>
      </c>
      <c r="X40" s="25">
        <v>14.92</v>
      </c>
      <c r="Y40" s="25">
        <v>233.79</v>
      </c>
      <c r="Z40" s="25">
        <v>24.89</v>
      </c>
      <c r="AA40" s="25">
        <v>24.87</v>
      </c>
      <c r="AB40" s="25">
        <v>29.77</v>
      </c>
      <c r="AC40" s="25">
        <v>298.23</v>
      </c>
      <c r="AD40" s="25">
        <v>372.41</v>
      </c>
      <c r="AE40" s="25">
        <v>14.92</v>
      </c>
      <c r="AF40" s="25">
        <v>29.85</v>
      </c>
      <c r="AG40" s="25">
        <v>462.76</v>
      </c>
      <c r="AH40" s="25">
        <v>462.68</v>
      </c>
      <c r="AI40" s="25" t="s">
        <v>94</v>
      </c>
      <c r="AJ40" s="25" t="s">
        <v>89</v>
      </c>
    </row>
    <row r="41" spans="1:36" x14ac:dyDescent="0.25">
      <c r="A41" s="26" t="s">
        <v>168</v>
      </c>
      <c r="B41" t="s">
        <v>169</v>
      </c>
      <c r="C41" s="25">
        <v>0</v>
      </c>
      <c r="D41" s="25">
        <v>0</v>
      </c>
      <c r="E41" s="25">
        <v>0</v>
      </c>
      <c r="F41" s="25">
        <v>0</v>
      </c>
      <c r="G41" s="25">
        <v>0</v>
      </c>
      <c r="H41" s="25">
        <v>0</v>
      </c>
      <c r="I41" s="25">
        <v>35</v>
      </c>
      <c r="J41" s="25">
        <v>20</v>
      </c>
      <c r="K41" s="25">
        <v>5</v>
      </c>
      <c r="L41" s="25">
        <v>10</v>
      </c>
      <c r="M41" s="25">
        <v>70</v>
      </c>
      <c r="N41" s="25">
        <v>40</v>
      </c>
      <c r="O41" s="25">
        <v>5</v>
      </c>
      <c r="P41" s="25">
        <v>5</v>
      </c>
      <c r="Q41" s="25">
        <v>85</v>
      </c>
      <c r="R41" s="25">
        <v>100</v>
      </c>
      <c r="S41" s="25">
        <v>0</v>
      </c>
      <c r="T41" s="25">
        <v>5</v>
      </c>
      <c r="U41" s="25">
        <v>35</v>
      </c>
      <c r="V41" s="25">
        <v>65</v>
      </c>
      <c r="W41" s="25">
        <v>0</v>
      </c>
      <c r="X41" s="25">
        <v>0</v>
      </c>
      <c r="Y41" s="25">
        <v>40</v>
      </c>
      <c r="Z41" s="25">
        <v>20</v>
      </c>
      <c r="AA41" s="25">
        <v>5</v>
      </c>
      <c r="AB41" s="25">
        <v>5</v>
      </c>
      <c r="AC41" s="25">
        <v>120</v>
      </c>
      <c r="AD41" s="25">
        <v>90</v>
      </c>
      <c r="AE41" s="25">
        <v>0</v>
      </c>
      <c r="AF41" s="25">
        <v>5</v>
      </c>
      <c r="AG41" s="25">
        <v>130</v>
      </c>
      <c r="AH41" s="25">
        <v>165</v>
      </c>
      <c r="AI41" s="25" t="s">
        <v>88</v>
      </c>
      <c r="AJ41" s="25" t="s">
        <v>89</v>
      </c>
    </row>
    <row r="42" spans="1:36" x14ac:dyDescent="0.25">
      <c r="A42" s="26" t="s">
        <v>170</v>
      </c>
      <c r="B42" t="s">
        <v>171</v>
      </c>
      <c r="C42" s="25">
        <v>0</v>
      </c>
      <c r="D42" s="25">
        <v>0</v>
      </c>
      <c r="E42" s="25">
        <v>0</v>
      </c>
      <c r="F42" s="25">
        <v>0</v>
      </c>
      <c r="G42" s="25">
        <v>0</v>
      </c>
      <c r="H42" s="25">
        <v>0</v>
      </c>
      <c r="I42" s="25">
        <v>5.05</v>
      </c>
      <c r="J42" s="25">
        <v>0</v>
      </c>
      <c r="K42" s="25">
        <v>4.99</v>
      </c>
      <c r="L42" s="25">
        <v>5.01</v>
      </c>
      <c r="M42" s="25">
        <v>30.06</v>
      </c>
      <c r="N42" s="25">
        <v>10</v>
      </c>
      <c r="O42" s="25">
        <v>0</v>
      </c>
      <c r="P42" s="25">
        <v>0</v>
      </c>
      <c r="Q42" s="25">
        <v>45.09</v>
      </c>
      <c r="R42" s="25">
        <v>40.119999999999997</v>
      </c>
      <c r="S42" s="25">
        <v>0</v>
      </c>
      <c r="T42" s="25">
        <v>5.01</v>
      </c>
      <c r="U42" s="25">
        <v>10.06</v>
      </c>
      <c r="V42" s="25">
        <v>25.01</v>
      </c>
      <c r="W42" s="25">
        <v>5.01</v>
      </c>
      <c r="X42" s="25">
        <v>0</v>
      </c>
      <c r="Y42" s="25">
        <v>14.99</v>
      </c>
      <c r="Z42" s="25">
        <v>10.02</v>
      </c>
      <c r="AA42" s="25">
        <v>0</v>
      </c>
      <c r="AB42" s="25">
        <v>0</v>
      </c>
      <c r="AC42" s="25">
        <v>39.92</v>
      </c>
      <c r="AD42" s="25">
        <v>34.909999999999997</v>
      </c>
      <c r="AE42" s="25">
        <v>0</v>
      </c>
      <c r="AF42" s="25">
        <v>4.99</v>
      </c>
      <c r="AG42" s="25">
        <v>65.48</v>
      </c>
      <c r="AH42" s="25">
        <v>80.37</v>
      </c>
      <c r="AI42" s="25" t="s">
        <v>88</v>
      </c>
      <c r="AJ42" s="25" t="s">
        <v>89</v>
      </c>
    </row>
    <row r="43" spans="1:36" x14ac:dyDescent="0.25">
      <c r="A43" s="26" t="s">
        <v>172</v>
      </c>
      <c r="B43" t="s">
        <v>173</v>
      </c>
      <c r="C43" s="25">
        <v>0</v>
      </c>
      <c r="D43" s="25">
        <v>0</v>
      </c>
      <c r="E43" s="25">
        <v>0</v>
      </c>
      <c r="F43" s="25">
        <v>0</v>
      </c>
      <c r="G43" s="25">
        <v>0</v>
      </c>
      <c r="H43" s="25">
        <v>10</v>
      </c>
      <c r="I43" s="25">
        <v>10</v>
      </c>
      <c r="J43" s="25">
        <v>20</v>
      </c>
      <c r="K43" s="25">
        <v>0</v>
      </c>
      <c r="L43" s="25">
        <v>5</v>
      </c>
      <c r="M43" s="25">
        <v>45</v>
      </c>
      <c r="N43" s="25">
        <v>60</v>
      </c>
      <c r="O43" s="25">
        <v>5</v>
      </c>
      <c r="P43" s="25">
        <v>5</v>
      </c>
      <c r="Q43" s="25">
        <v>85</v>
      </c>
      <c r="R43" s="25">
        <v>85</v>
      </c>
      <c r="S43" s="25">
        <v>5</v>
      </c>
      <c r="T43" s="25">
        <v>5</v>
      </c>
      <c r="U43" s="25">
        <v>25</v>
      </c>
      <c r="V43" s="25">
        <v>115</v>
      </c>
      <c r="W43" s="25">
        <v>15</v>
      </c>
      <c r="X43" s="25">
        <v>0</v>
      </c>
      <c r="Y43" s="25">
        <v>80</v>
      </c>
      <c r="Z43" s="25">
        <v>0</v>
      </c>
      <c r="AA43" s="25">
        <v>15</v>
      </c>
      <c r="AB43" s="25">
        <v>10</v>
      </c>
      <c r="AC43" s="25">
        <v>95</v>
      </c>
      <c r="AD43" s="25">
        <v>65</v>
      </c>
      <c r="AE43" s="25">
        <v>5</v>
      </c>
      <c r="AF43" s="25">
        <v>15</v>
      </c>
      <c r="AG43" s="25">
        <v>130</v>
      </c>
      <c r="AH43" s="25">
        <v>220</v>
      </c>
      <c r="AI43" s="25" t="s">
        <v>94</v>
      </c>
      <c r="AJ43" s="25" t="s">
        <v>89</v>
      </c>
    </row>
    <row r="44" spans="1:36" x14ac:dyDescent="0.25">
      <c r="A44" s="26" t="s">
        <v>174</v>
      </c>
      <c r="B44" t="s">
        <v>175</v>
      </c>
      <c r="C44" s="25">
        <v>0</v>
      </c>
      <c r="D44" s="25">
        <v>0</v>
      </c>
      <c r="E44" s="25">
        <v>0</v>
      </c>
      <c r="F44" s="25">
        <v>5.01</v>
      </c>
      <c r="G44" s="25">
        <v>5.01</v>
      </c>
      <c r="H44" s="25">
        <v>0</v>
      </c>
      <c r="I44" s="25">
        <v>45.1</v>
      </c>
      <c r="J44" s="25">
        <v>25.05</v>
      </c>
      <c r="K44" s="25">
        <v>10.02</v>
      </c>
      <c r="L44" s="25">
        <v>0</v>
      </c>
      <c r="M44" s="25">
        <v>160.34</v>
      </c>
      <c r="N44" s="25">
        <v>70.150000000000006</v>
      </c>
      <c r="O44" s="25">
        <v>10.02</v>
      </c>
      <c r="P44" s="25">
        <v>5.01</v>
      </c>
      <c r="Q44" s="25">
        <v>220.47</v>
      </c>
      <c r="R44" s="25">
        <v>185.4</v>
      </c>
      <c r="S44" s="25">
        <v>15.03</v>
      </c>
      <c r="T44" s="25">
        <v>20.04</v>
      </c>
      <c r="U44" s="25">
        <v>90.19</v>
      </c>
      <c r="V44" s="25">
        <v>245.53</v>
      </c>
      <c r="W44" s="25">
        <v>10.02</v>
      </c>
      <c r="X44" s="25">
        <v>5.01</v>
      </c>
      <c r="Y44" s="25">
        <v>120.26</v>
      </c>
      <c r="Z44" s="25">
        <v>0</v>
      </c>
      <c r="AA44" s="25">
        <v>37.21</v>
      </c>
      <c r="AB44" s="25">
        <v>35</v>
      </c>
      <c r="AC44" s="25">
        <v>242.85</v>
      </c>
      <c r="AD44" s="25">
        <v>396.46</v>
      </c>
      <c r="AE44" s="25">
        <v>85.54</v>
      </c>
      <c r="AF44" s="25">
        <v>19.5</v>
      </c>
      <c r="AG44" s="25">
        <v>423.87</v>
      </c>
      <c r="AH44" s="25">
        <v>376.84</v>
      </c>
      <c r="AI44" s="25" t="s">
        <v>94</v>
      </c>
      <c r="AJ44" s="25" t="s">
        <v>89</v>
      </c>
    </row>
    <row r="45" spans="1:36" x14ac:dyDescent="0.25">
      <c r="A45" s="26" t="s">
        <v>176</v>
      </c>
      <c r="B45" t="s">
        <v>177</v>
      </c>
      <c r="C45" s="25">
        <v>25</v>
      </c>
      <c r="D45" s="25">
        <v>0</v>
      </c>
      <c r="E45" s="25">
        <v>10</v>
      </c>
      <c r="F45" s="25">
        <v>0</v>
      </c>
      <c r="G45" s="25">
        <v>10</v>
      </c>
      <c r="H45" s="25">
        <v>5</v>
      </c>
      <c r="I45" s="25">
        <v>70</v>
      </c>
      <c r="J45" s="25">
        <v>5</v>
      </c>
      <c r="K45" s="25">
        <v>15</v>
      </c>
      <c r="L45" s="25">
        <v>20</v>
      </c>
      <c r="M45" s="25">
        <v>95</v>
      </c>
      <c r="N45" s="25">
        <v>105</v>
      </c>
      <c r="O45" s="25">
        <v>145</v>
      </c>
      <c r="P45" s="25">
        <v>25</v>
      </c>
      <c r="Q45" s="25">
        <v>215</v>
      </c>
      <c r="R45" s="25">
        <v>145</v>
      </c>
      <c r="S45" s="25">
        <v>30</v>
      </c>
      <c r="T45" s="25">
        <v>155</v>
      </c>
      <c r="U45" s="25">
        <v>65</v>
      </c>
      <c r="V45" s="25">
        <v>225</v>
      </c>
      <c r="W45" s="25">
        <v>100</v>
      </c>
      <c r="X45" s="25">
        <v>15</v>
      </c>
      <c r="Y45" s="25">
        <v>135</v>
      </c>
      <c r="Z45" s="25">
        <v>20</v>
      </c>
      <c r="AA45" s="25">
        <v>90</v>
      </c>
      <c r="AB45" s="25">
        <v>40</v>
      </c>
      <c r="AC45" s="25">
        <v>140</v>
      </c>
      <c r="AD45" s="25">
        <v>215</v>
      </c>
      <c r="AE45" s="25">
        <v>165</v>
      </c>
      <c r="AF45" s="25">
        <v>300</v>
      </c>
      <c r="AG45" s="25">
        <v>385</v>
      </c>
      <c r="AH45" s="25">
        <v>350</v>
      </c>
      <c r="AI45" s="25" t="s">
        <v>88</v>
      </c>
      <c r="AJ45" s="25" t="s">
        <v>89</v>
      </c>
    </row>
    <row r="46" spans="1:36" x14ac:dyDescent="0.25">
      <c r="A46" s="26" t="s">
        <v>178</v>
      </c>
      <c r="B46" t="s">
        <v>179</v>
      </c>
      <c r="C46" s="25">
        <v>0</v>
      </c>
      <c r="D46" s="25">
        <v>0</v>
      </c>
      <c r="E46" s="25">
        <v>10.029999999999999</v>
      </c>
      <c r="F46" s="25">
        <v>0</v>
      </c>
      <c r="G46" s="25">
        <v>0</v>
      </c>
      <c r="H46" s="25">
        <v>0</v>
      </c>
      <c r="I46" s="25">
        <v>15.04</v>
      </c>
      <c r="J46" s="25">
        <v>0</v>
      </c>
      <c r="K46" s="25">
        <v>5.01</v>
      </c>
      <c r="L46" s="25">
        <v>5.01</v>
      </c>
      <c r="M46" s="25">
        <v>15.04</v>
      </c>
      <c r="N46" s="25">
        <v>0</v>
      </c>
      <c r="O46" s="25">
        <v>0</v>
      </c>
      <c r="P46" s="25">
        <v>0</v>
      </c>
      <c r="Q46" s="25">
        <v>35.1</v>
      </c>
      <c r="R46" s="25">
        <v>30.08</v>
      </c>
      <c r="S46" s="25">
        <v>0</v>
      </c>
      <c r="T46" s="25">
        <v>0</v>
      </c>
      <c r="U46" s="25">
        <v>10.029999999999999</v>
      </c>
      <c r="V46" s="25">
        <v>45.12</v>
      </c>
      <c r="W46" s="25">
        <v>0</v>
      </c>
      <c r="X46" s="25">
        <v>0</v>
      </c>
      <c r="Y46" s="25">
        <v>20.05</v>
      </c>
      <c r="Z46" s="25">
        <v>0</v>
      </c>
      <c r="AA46" s="25">
        <v>5.01</v>
      </c>
      <c r="AB46" s="25">
        <v>0</v>
      </c>
      <c r="AC46" s="25">
        <v>20.05</v>
      </c>
      <c r="AD46" s="25">
        <v>20.05</v>
      </c>
      <c r="AE46" s="25">
        <v>0</v>
      </c>
      <c r="AF46" s="25">
        <v>0</v>
      </c>
      <c r="AG46" s="25">
        <v>45.12</v>
      </c>
      <c r="AH46" s="25">
        <v>70.19</v>
      </c>
      <c r="AI46" s="25" t="s">
        <v>88</v>
      </c>
      <c r="AJ46" s="25" t="s">
        <v>89</v>
      </c>
    </row>
    <row r="47" spans="1:36" x14ac:dyDescent="0.25">
      <c r="A47" s="26" t="s">
        <v>180</v>
      </c>
      <c r="B47" t="s">
        <v>181</v>
      </c>
      <c r="C47" s="25">
        <v>0</v>
      </c>
      <c r="D47" s="25">
        <v>0</v>
      </c>
      <c r="E47" s="25">
        <v>0</v>
      </c>
      <c r="F47" s="25">
        <v>0</v>
      </c>
      <c r="G47" s="25">
        <v>0</v>
      </c>
      <c r="H47" s="25">
        <v>0</v>
      </c>
      <c r="I47" s="25">
        <v>0</v>
      </c>
      <c r="J47" s="25">
        <v>0</v>
      </c>
      <c r="K47" s="25">
        <v>5.33</v>
      </c>
      <c r="L47" s="25">
        <v>0</v>
      </c>
      <c r="M47" s="25">
        <v>10.67</v>
      </c>
      <c r="N47" s="25">
        <v>0</v>
      </c>
      <c r="O47" s="25">
        <v>0</v>
      </c>
      <c r="P47" s="25">
        <v>0</v>
      </c>
      <c r="Q47" s="25">
        <v>5.33</v>
      </c>
      <c r="R47" s="25">
        <v>0</v>
      </c>
      <c r="S47" s="25">
        <v>0</v>
      </c>
      <c r="T47" s="25">
        <v>0</v>
      </c>
      <c r="U47" s="25">
        <v>0</v>
      </c>
      <c r="V47" s="25">
        <v>0</v>
      </c>
      <c r="W47" s="25">
        <v>0</v>
      </c>
      <c r="X47" s="25">
        <v>5.33</v>
      </c>
      <c r="Y47" s="25">
        <v>0</v>
      </c>
      <c r="Z47" s="25">
        <v>0</v>
      </c>
      <c r="AA47" s="25">
        <v>0</v>
      </c>
      <c r="AB47" s="25">
        <v>0</v>
      </c>
      <c r="AC47" s="25">
        <v>5.33</v>
      </c>
      <c r="AD47" s="25">
        <v>10.67</v>
      </c>
      <c r="AE47" s="25">
        <v>0</v>
      </c>
      <c r="AF47" s="25">
        <v>0</v>
      </c>
      <c r="AG47" s="25">
        <v>5.33</v>
      </c>
      <c r="AH47" s="25">
        <v>16</v>
      </c>
      <c r="AI47" s="25" t="s">
        <v>88</v>
      </c>
      <c r="AJ47" s="25" t="s">
        <v>89</v>
      </c>
    </row>
    <row r="48" spans="1:36" x14ac:dyDescent="0.25">
      <c r="A48" s="26" t="s">
        <v>182</v>
      </c>
      <c r="B48" t="s">
        <v>183</v>
      </c>
      <c r="C48" s="25">
        <v>0</v>
      </c>
      <c r="D48" s="25">
        <v>0</v>
      </c>
      <c r="E48" s="25">
        <v>5</v>
      </c>
      <c r="F48" s="25">
        <v>5</v>
      </c>
      <c r="G48" s="25">
        <v>0</v>
      </c>
      <c r="H48" s="25">
        <v>0</v>
      </c>
      <c r="I48" s="25">
        <v>0</v>
      </c>
      <c r="J48" s="25">
        <v>0</v>
      </c>
      <c r="K48" s="25">
        <v>0</v>
      </c>
      <c r="L48" s="25">
        <v>0</v>
      </c>
      <c r="M48" s="25">
        <v>0</v>
      </c>
      <c r="N48" s="25">
        <v>0</v>
      </c>
      <c r="O48" s="25">
        <v>0</v>
      </c>
      <c r="P48" s="25">
        <v>0</v>
      </c>
      <c r="Q48" s="25">
        <v>20</v>
      </c>
      <c r="R48" s="25">
        <v>10</v>
      </c>
      <c r="S48" s="25">
        <v>0</v>
      </c>
      <c r="T48" s="25">
        <v>0</v>
      </c>
      <c r="U48" s="25">
        <v>0</v>
      </c>
      <c r="V48" s="25">
        <v>5</v>
      </c>
      <c r="W48" s="25">
        <v>0</v>
      </c>
      <c r="X48" s="25">
        <v>0</v>
      </c>
      <c r="Y48" s="25">
        <v>10</v>
      </c>
      <c r="Z48" s="25">
        <v>0</v>
      </c>
      <c r="AA48" s="25">
        <v>0</v>
      </c>
      <c r="AB48" s="25">
        <v>0</v>
      </c>
      <c r="AC48" s="25">
        <v>15</v>
      </c>
      <c r="AD48" s="25">
        <v>20</v>
      </c>
      <c r="AE48" s="25">
        <v>0</v>
      </c>
      <c r="AF48" s="25">
        <v>0</v>
      </c>
      <c r="AG48" s="25">
        <v>10</v>
      </c>
      <c r="AH48" s="25">
        <v>30</v>
      </c>
      <c r="AI48" s="25" t="s">
        <v>94</v>
      </c>
      <c r="AJ48" s="25" t="s">
        <v>89</v>
      </c>
    </row>
    <row r="49" spans="1:36" x14ac:dyDescent="0.25">
      <c r="A49" s="26" t="s">
        <v>184</v>
      </c>
      <c r="B49" t="s">
        <v>185</v>
      </c>
      <c r="C49" s="25">
        <v>0</v>
      </c>
      <c r="D49" s="25">
        <v>0</v>
      </c>
      <c r="E49" s="25">
        <v>0</v>
      </c>
      <c r="F49" s="25">
        <v>0</v>
      </c>
      <c r="G49" s="25">
        <v>0</v>
      </c>
      <c r="H49" s="25">
        <v>0</v>
      </c>
      <c r="I49" s="25">
        <v>50</v>
      </c>
      <c r="J49" s="25">
        <v>15</v>
      </c>
      <c r="K49" s="25">
        <v>0</v>
      </c>
      <c r="L49" s="25">
        <v>5</v>
      </c>
      <c r="M49" s="25">
        <v>110</v>
      </c>
      <c r="N49" s="25">
        <v>40</v>
      </c>
      <c r="O49" s="25">
        <v>20</v>
      </c>
      <c r="P49" s="25">
        <v>5</v>
      </c>
      <c r="Q49" s="25">
        <v>150</v>
      </c>
      <c r="R49" s="25">
        <v>265</v>
      </c>
      <c r="S49" s="25">
        <v>0</v>
      </c>
      <c r="T49" s="25">
        <v>25</v>
      </c>
      <c r="U49" s="25">
        <v>75</v>
      </c>
      <c r="V49" s="25">
        <v>135</v>
      </c>
      <c r="W49" s="25">
        <v>10</v>
      </c>
      <c r="X49" s="25">
        <v>10</v>
      </c>
      <c r="Y49" s="25">
        <v>120</v>
      </c>
      <c r="Z49" s="25">
        <v>30</v>
      </c>
      <c r="AA49" s="25">
        <v>10</v>
      </c>
      <c r="AB49" s="25">
        <v>15</v>
      </c>
      <c r="AC49" s="25">
        <v>155</v>
      </c>
      <c r="AD49" s="25">
        <v>165</v>
      </c>
      <c r="AE49" s="25">
        <v>0</v>
      </c>
      <c r="AF49" s="25">
        <v>0</v>
      </c>
      <c r="AG49" s="25">
        <v>305</v>
      </c>
      <c r="AH49" s="25">
        <v>325</v>
      </c>
      <c r="AI49" s="25" t="s">
        <v>88</v>
      </c>
      <c r="AJ49" s="25" t="s">
        <v>89</v>
      </c>
    </row>
    <row r="50" spans="1:36" x14ac:dyDescent="0.25">
      <c r="A50" s="26" t="s">
        <v>186</v>
      </c>
      <c r="B50" t="s">
        <v>187</v>
      </c>
      <c r="C50" s="25">
        <v>0</v>
      </c>
      <c r="D50" s="25">
        <v>0</v>
      </c>
      <c r="E50" s="25">
        <v>0</v>
      </c>
      <c r="F50" s="25">
        <v>0</v>
      </c>
      <c r="G50" s="25">
        <v>0</v>
      </c>
      <c r="H50" s="25">
        <v>0</v>
      </c>
      <c r="I50" s="25">
        <v>20</v>
      </c>
      <c r="J50" s="25">
        <v>20</v>
      </c>
      <c r="K50" s="25">
        <v>10</v>
      </c>
      <c r="L50" s="25">
        <v>0</v>
      </c>
      <c r="M50" s="25">
        <v>100</v>
      </c>
      <c r="N50" s="25">
        <v>50</v>
      </c>
      <c r="O50" s="25">
        <v>10</v>
      </c>
      <c r="P50" s="25">
        <v>5</v>
      </c>
      <c r="Q50" s="25">
        <v>100</v>
      </c>
      <c r="R50" s="25">
        <v>135</v>
      </c>
      <c r="S50" s="25">
        <v>5</v>
      </c>
      <c r="T50" s="25">
        <v>5</v>
      </c>
      <c r="U50" s="25">
        <v>75</v>
      </c>
      <c r="V50" s="25">
        <v>210</v>
      </c>
      <c r="W50" s="25">
        <v>5</v>
      </c>
      <c r="X50" s="25">
        <v>5</v>
      </c>
      <c r="Y50" s="25">
        <v>125</v>
      </c>
      <c r="Z50" s="25">
        <v>15</v>
      </c>
      <c r="AA50" s="25">
        <v>10</v>
      </c>
      <c r="AB50" s="25">
        <v>5</v>
      </c>
      <c r="AC50" s="25">
        <v>110</v>
      </c>
      <c r="AD50" s="25">
        <v>115</v>
      </c>
      <c r="AE50" s="25">
        <v>0</v>
      </c>
      <c r="AF50" s="25">
        <v>5</v>
      </c>
      <c r="AG50" s="25">
        <v>235</v>
      </c>
      <c r="AH50" s="25">
        <v>225</v>
      </c>
      <c r="AI50" s="25" t="s">
        <v>94</v>
      </c>
      <c r="AJ50" s="25" t="s">
        <v>89</v>
      </c>
    </row>
    <row r="51" spans="1:36" x14ac:dyDescent="0.25">
      <c r="A51" s="26" t="s">
        <v>188</v>
      </c>
      <c r="B51" t="s">
        <v>189</v>
      </c>
      <c r="C51" s="25">
        <v>0</v>
      </c>
      <c r="D51" s="25">
        <v>0</v>
      </c>
      <c r="E51" s="25">
        <v>2.86</v>
      </c>
      <c r="F51" s="25">
        <v>0</v>
      </c>
      <c r="G51" s="25">
        <v>97.69</v>
      </c>
      <c r="H51" s="25">
        <v>28.8</v>
      </c>
      <c r="I51" s="25">
        <v>200.16</v>
      </c>
      <c r="J51" s="25">
        <v>77.260000000000005</v>
      </c>
      <c r="K51" s="25">
        <v>138.19</v>
      </c>
      <c r="L51" s="25">
        <v>81.290000000000006</v>
      </c>
      <c r="M51" s="25">
        <v>843.31</v>
      </c>
      <c r="N51" s="25">
        <v>594.86</v>
      </c>
      <c r="O51" s="25">
        <v>228.19</v>
      </c>
      <c r="P51" s="25">
        <v>192.28</v>
      </c>
      <c r="Q51" s="25">
        <v>1016.6</v>
      </c>
      <c r="R51" s="25">
        <v>1408.06</v>
      </c>
      <c r="S51" s="25">
        <v>268.52</v>
      </c>
      <c r="T51" s="25">
        <v>640</v>
      </c>
      <c r="U51" s="25">
        <v>723.74</v>
      </c>
      <c r="V51" s="25">
        <v>1744.98</v>
      </c>
      <c r="W51" s="25">
        <v>878.37</v>
      </c>
      <c r="X51" s="25">
        <v>186.06</v>
      </c>
      <c r="Y51" s="25">
        <v>963.88</v>
      </c>
      <c r="Z51" s="25">
        <v>216.98</v>
      </c>
      <c r="AA51" s="25">
        <v>262.61</v>
      </c>
      <c r="AB51" s="25">
        <v>242.13</v>
      </c>
      <c r="AC51" s="25">
        <v>964.09</v>
      </c>
      <c r="AD51" s="25">
        <v>1443.8</v>
      </c>
      <c r="AE51" s="25">
        <v>354.51</v>
      </c>
      <c r="AF51" s="25">
        <v>558.02</v>
      </c>
      <c r="AG51" s="25">
        <v>2791.41</v>
      </c>
      <c r="AH51" s="25">
        <v>3031.56</v>
      </c>
      <c r="AI51" s="25" t="s">
        <v>88</v>
      </c>
      <c r="AJ51" s="25" t="s">
        <v>89</v>
      </c>
    </row>
    <row r="52" spans="1:36" x14ac:dyDescent="0.25">
      <c r="A52" s="26" t="s">
        <v>190</v>
      </c>
      <c r="B52" t="s">
        <v>191</v>
      </c>
      <c r="C52" s="25">
        <v>3.84</v>
      </c>
      <c r="D52" s="25">
        <v>0</v>
      </c>
      <c r="E52" s="25">
        <v>3.42</v>
      </c>
      <c r="F52" s="25">
        <v>3.71</v>
      </c>
      <c r="G52" s="25">
        <v>324.08999999999997</v>
      </c>
      <c r="H52" s="25">
        <v>57.51</v>
      </c>
      <c r="I52" s="25">
        <v>385.96</v>
      </c>
      <c r="J52" s="25">
        <v>153.22</v>
      </c>
      <c r="K52" s="25">
        <v>342.29</v>
      </c>
      <c r="L52" s="25">
        <v>220.56</v>
      </c>
      <c r="M52" s="25">
        <v>1141.44</v>
      </c>
      <c r="N52" s="25">
        <v>800.77</v>
      </c>
      <c r="O52" s="25">
        <v>709.17</v>
      </c>
      <c r="P52" s="25">
        <v>625.27</v>
      </c>
      <c r="Q52" s="25">
        <v>2469.9499999999998</v>
      </c>
      <c r="R52" s="25">
        <v>2651.43</v>
      </c>
      <c r="S52" s="25">
        <v>705.36</v>
      </c>
      <c r="T52" s="25">
        <v>1813.38</v>
      </c>
      <c r="U52" s="25">
        <v>1378.36</v>
      </c>
      <c r="V52" s="25">
        <v>3746.35</v>
      </c>
      <c r="W52" s="25">
        <v>2438.7600000000002</v>
      </c>
      <c r="X52" s="25">
        <v>472.76</v>
      </c>
      <c r="Y52" s="25">
        <v>2929.65</v>
      </c>
      <c r="Z52" s="25">
        <v>529.63</v>
      </c>
      <c r="AA52" s="25">
        <v>1031.1400000000001</v>
      </c>
      <c r="AB52" s="25">
        <v>726.61</v>
      </c>
      <c r="AC52" s="25">
        <v>1910.56</v>
      </c>
      <c r="AD52" s="25">
        <v>2699.42</v>
      </c>
      <c r="AE52" s="25">
        <v>1465.78</v>
      </c>
      <c r="AF52" s="25">
        <v>2883.47</v>
      </c>
      <c r="AG52" s="25">
        <v>8003.3</v>
      </c>
      <c r="AH52" s="25">
        <v>8658.15</v>
      </c>
      <c r="AI52" s="25" t="s">
        <v>88</v>
      </c>
      <c r="AJ52" s="25" t="s">
        <v>89</v>
      </c>
    </row>
    <row r="53" spans="1:36" x14ac:dyDescent="0.25">
      <c r="A53" s="26" t="s">
        <v>192</v>
      </c>
      <c r="B53" t="s">
        <v>193</v>
      </c>
      <c r="C53" s="25">
        <v>5.03</v>
      </c>
      <c r="D53" s="25">
        <v>0</v>
      </c>
      <c r="E53" s="25">
        <v>10.07</v>
      </c>
      <c r="F53" s="25">
        <v>0</v>
      </c>
      <c r="G53" s="25">
        <v>5.03</v>
      </c>
      <c r="H53" s="25">
        <v>0</v>
      </c>
      <c r="I53" s="25">
        <v>20.13</v>
      </c>
      <c r="J53" s="25">
        <v>25.16</v>
      </c>
      <c r="K53" s="25">
        <v>5.03</v>
      </c>
      <c r="L53" s="25">
        <v>5.03</v>
      </c>
      <c r="M53" s="25">
        <v>110.72</v>
      </c>
      <c r="N53" s="25">
        <v>55.36</v>
      </c>
      <c r="O53" s="25">
        <v>5.03</v>
      </c>
      <c r="P53" s="25">
        <v>5.03</v>
      </c>
      <c r="Q53" s="25">
        <v>125.82</v>
      </c>
      <c r="R53" s="25">
        <v>125.82</v>
      </c>
      <c r="S53" s="25">
        <v>5.03</v>
      </c>
      <c r="T53" s="25">
        <v>5.03</v>
      </c>
      <c r="U53" s="25">
        <v>60.39</v>
      </c>
      <c r="V53" s="25">
        <v>166.09</v>
      </c>
      <c r="W53" s="25">
        <v>10.07</v>
      </c>
      <c r="X53" s="25">
        <v>0</v>
      </c>
      <c r="Y53" s="25">
        <v>115.76</v>
      </c>
      <c r="Z53" s="25">
        <v>15.1</v>
      </c>
      <c r="AA53" s="25">
        <v>10.07</v>
      </c>
      <c r="AB53" s="25">
        <v>15.1</v>
      </c>
      <c r="AC53" s="25">
        <v>130.74</v>
      </c>
      <c r="AD53" s="25">
        <v>195.36</v>
      </c>
      <c r="AE53" s="25">
        <v>0</v>
      </c>
      <c r="AF53" s="25">
        <v>25.16</v>
      </c>
      <c r="AG53" s="25">
        <v>196.28</v>
      </c>
      <c r="AH53" s="25">
        <v>271.43</v>
      </c>
      <c r="AI53" s="25" t="s">
        <v>94</v>
      </c>
      <c r="AJ53" s="25" t="s">
        <v>89</v>
      </c>
    </row>
    <row r="54" spans="1:36" x14ac:dyDescent="0.25">
      <c r="A54" s="26" t="s">
        <v>194</v>
      </c>
      <c r="B54" t="s">
        <v>195</v>
      </c>
      <c r="C54" s="25">
        <v>0</v>
      </c>
      <c r="D54" s="25">
        <v>0</v>
      </c>
      <c r="E54" s="25">
        <v>0</v>
      </c>
      <c r="F54" s="25">
        <v>0</v>
      </c>
      <c r="G54" s="25">
        <v>20.14</v>
      </c>
      <c r="H54" s="25">
        <v>0</v>
      </c>
      <c r="I54" s="25">
        <v>35.25</v>
      </c>
      <c r="J54" s="25">
        <v>25.14</v>
      </c>
      <c r="K54" s="25">
        <v>15.11</v>
      </c>
      <c r="L54" s="25">
        <v>25.18</v>
      </c>
      <c r="M54" s="25">
        <v>266.91000000000003</v>
      </c>
      <c r="N54" s="25">
        <v>135.94</v>
      </c>
      <c r="O54" s="25">
        <v>45.25</v>
      </c>
      <c r="P54" s="25">
        <v>50.29</v>
      </c>
      <c r="Q54" s="25">
        <v>387.7</v>
      </c>
      <c r="R54" s="25">
        <v>362.59</v>
      </c>
      <c r="S54" s="25">
        <v>20.14</v>
      </c>
      <c r="T54" s="25">
        <v>80.58</v>
      </c>
      <c r="U54" s="25">
        <v>181.3</v>
      </c>
      <c r="V54" s="25">
        <v>372.67</v>
      </c>
      <c r="W54" s="25">
        <v>90.65</v>
      </c>
      <c r="X54" s="25">
        <v>15.11</v>
      </c>
      <c r="Y54" s="25">
        <v>241.73</v>
      </c>
      <c r="Z54" s="25">
        <v>65.47</v>
      </c>
      <c r="AA54" s="25">
        <v>35.25</v>
      </c>
      <c r="AB54" s="25">
        <v>45.34</v>
      </c>
      <c r="AC54" s="25">
        <v>297.17</v>
      </c>
      <c r="AD54" s="25">
        <v>408.04</v>
      </c>
      <c r="AE54" s="25">
        <v>30.14</v>
      </c>
      <c r="AF54" s="25">
        <v>65.33</v>
      </c>
      <c r="AG54" s="25">
        <v>770.16</v>
      </c>
      <c r="AH54" s="25">
        <v>760.12</v>
      </c>
      <c r="AI54" s="25" t="s">
        <v>88</v>
      </c>
      <c r="AJ54" s="25" t="s">
        <v>89</v>
      </c>
    </row>
    <row r="55" spans="1:36" x14ac:dyDescent="0.25">
      <c r="A55" s="26" t="s">
        <v>196</v>
      </c>
      <c r="B55" t="s">
        <v>197</v>
      </c>
      <c r="C55" s="25">
        <v>0</v>
      </c>
      <c r="D55" s="25">
        <v>0</v>
      </c>
      <c r="E55" s="25">
        <v>0</v>
      </c>
      <c r="F55" s="25">
        <v>0</v>
      </c>
      <c r="G55" s="25">
        <v>0</v>
      </c>
      <c r="H55" s="25">
        <v>0</v>
      </c>
      <c r="I55" s="25">
        <v>5.01</v>
      </c>
      <c r="J55" s="25">
        <v>10.029999999999999</v>
      </c>
      <c r="K55" s="25">
        <v>10.029999999999999</v>
      </c>
      <c r="L55" s="25">
        <v>0</v>
      </c>
      <c r="M55" s="25">
        <v>40.119999999999997</v>
      </c>
      <c r="N55" s="25">
        <v>5.01</v>
      </c>
      <c r="O55" s="25">
        <v>0</v>
      </c>
      <c r="P55" s="25">
        <v>10.029999999999999</v>
      </c>
      <c r="Q55" s="25">
        <v>15.04</v>
      </c>
      <c r="R55" s="25">
        <v>25.07</v>
      </c>
      <c r="S55" s="25">
        <v>0</v>
      </c>
      <c r="T55" s="25">
        <v>15.04</v>
      </c>
      <c r="U55" s="25">
        <v>5.01</v>
      </c>
      <c r="V55" s="25">
        <v>30.09</v>
      </c>
      <c r="W55" s="25">
        <v>5.01</v>
      </c>
      <c r="X55" s="25">
        <v>5.01</v>
      </c>
      <c r="Y55" s="25">
        <v>5.01</v>
      </c>
      <c r="Z55" s="25">
        <v>0</v>
      </c>
      <c r="AA55" s="25">
        <v>5.01</v>
      </c>
      <c r="AB55" s="25">
        <v>10.029999999999999</v>
      </c>
      <c r="AC55" s="25">
        <v>35.1</v>
      </c>
      <c r="AD55" s="25">
        <v>20.059999999999999</v>
      </c>
      <c r="AE55" s="25">
        <v>5.01</v>
      </c>
      <c r="AF55" s="25">
        <v>0</v>
      </c>
      <c r="AG55" s="25">
        <v>45.13</v>
      </c>
      <c r="AH55" s="25">
        <v>30.09</v>
      </c>
      <c r="AI55" s="25" t="s">
        <v>94</v>
      </c>
      <c r="AJ55" s="25" t="s">
        <v>89</v>
      </c>
    </row>
    <row r="56" spans="1:36" x14ac:dyDescent="0.25">
      <c r="A56" s="26" t="s">
        <v>198</v>
      </c>
      <c r="B56" t="s">
        <v>199</v>
      </c>
      <c r="C56" s="25">
        <v>0</v>
      </c>
      <c r="D56" s="25">
        <v>0</v>
      </c>
      <c r="E56" s="25">
        <v>0</v>
      </c>
      <c r="F56" s="25">
        <v>0</v>
      </c>
      <c r="G56" s="25">
        <v>0</v>
      </c>
      <c r="H56" s="25">
        <v>0</v>
      </c>
      <c r="I56" s="25">
        <v>4.84</v>
      </c>
      <c r="J56" s="25">
        <v>4.84</v>
      </c>
      <c r="K56" s="25">
        <v>0</v>
      </c>
      <c r="L56" s="25">
        <v>0</v>
      </c>
      <c r="M56" s="25">
        <v>9.67</v>
      </c>
      <c r="N56" s="25">
        <v>0</v>
      </c>
      <c r="O56" s="25">
        <v>0</v>
      </c>
      <c r="P56" s="25">
        <v>0</v>
      </c>
      <c r="Q56" s="25">
        <v>24.18</v>
      </c>
      <c r="R56" s="25">
        <v>19.350000000000001</v>
      </c>
      <c r="S56" s="25">
        <v>0</v>
      </c>
      <c r="T56" s="25">
        <v>0</v>
      </c>
      <c r="U56" s="25">
        <v>14.51</v>
      </c>
      <c r="V56" s="25">
        <v>24.18</v>
      </c>
      <c r="W56" s="25">
        <v>4.84</v>
      </c>
      <c r="X56" s="25">
        <v>0</v>
      </c>
      <c r="Y56" s="25">
        <v>4.84</v>
      </c>
      <c r="Z56" s="25">
        <v>0</v>
      </c>
      <c r="AA56" s="25">
        <v>0</v>
      </c>
      <c r="AB56" s="25">
        <v>0</v>
      </c>
      <c r="AC56" s="25">
        <v>43.53</v>
      </c>
      <c r="AD56" s="25">
        <v>33.86</v>
      </c>
      <c r="AE56" s="25">
        <v>0</v>
      </c>
      <c r="AF56" s="25">
        <v>4.84</v>
      </c>
      <c r="AG56" s="25">
        <v>38.700000000000003</v>
      </c>
      <c r="AH56" s="25">
        <v>33.86</v>
      </c>
      <c r="AI56" s="25" t="s">
        <v>94</v>
      </c>
      <c r="AJ56" s="25" t="s">
        <v>89</v>
      </c>
    </row>
    <row r="57" spans="1:36" x14ac:dyDescent="0.25">
      <c r="A57" s="26" t="s">
        <v>200</v>
      </c>
      <c r="B57" t="s">
        <v>201</v>
      </c>
      <c r="C57" s="25">
        <v>0</v>
      </c>
      <c r="D57" s="25">
        <v>0</v>
      </c>
      <c r="E57" s="25">
        <v>0</v>
      </c>
      <c r="F57" s="25">
        <v>0</v>
      </c>
      <c r="G57" s="25">
        <v>0</v>
      </c>
      <c r="H57" s="25">
        <v>0</v>
      </c>
      <c r="I57" s="25">
        <v>5</v>
      </c>
      <c r="J57" s="25">
        <v>0</v>
      </c>
      <c r="K57" s="25">
        <v>0</v>
      </c>
      <c r="L57" s="25">
        <v>0</v>
      </c>
      <c r="M57" s="25">
        <v>65</v>
      </c>
      <c r="N57" s="25">
        <v>30</v>
      </c>
      <c r="O57" s="25">
        <v>0</v>
      </c>
      <c r="P57" s="25">
        <v>0</v>
      </c>
      <c r="Q57" s="25">
        <v>45</v>
      </c>
      <c r="R57" s="25">
        <v>70</v>
      </c>
      <c r="S57" s="25">
        <v>5</v>
      </c>
      <c r="T57" s="25">
        <v>20</v>
      </c>
      <c r="U57" s="25">
        <v>25</v>
      </c>
      <c r="V57" s="25">
        <v>35</v>
      </c>
      <c r="W57" s="25">
        <v>5</v>
      </c>
      <c r="X57" s="25">
        <v>0</v>
      </c>
      <c r="Y57" s="25">
        <v>35</v>
      </c>
      <c r="Z57" s="25">
        <v>5</v>
      </c>
      <c r="AA57" s="25">
        <v>5</v>
      </c>
      <c r="AB57" s="25">
        <v>5</v>
      </c>
      <c r="AC57" s="25">
        <v>40</v>
      </c>
      <c r="AD57" s="25">
        <v>40</v>
      </c>
      <c r="AE57" s="25">
        <v>0</v>
      </c>
      <c r="AF57" s="25">
        <v>5</v>
      </c>
      <c r="AG57" s="25">
        <v>45</v>
      </c>
      <c r="AH57" s="25">
        <v>100</v>
      </c>
      <c r="AI57" s="25" t="s">
        <v>94</v>
      </c>
      <c r="AJ57" s="25" t="s">
        <v>89</v>
      </c>
    </row>
    <row r="58" spans="1:36" x14ac:dyDescent="0.25">
      <c r="A58" s="26" t="s">
        <v>202</v>
      </c>
      <c r="B58" t="s">
        <v>203</v>
      </c>
      <c r="C58" s="25">
        <v>0</v>
      </c>
      <c r="D58" s="25">
        <v>0</v>
      </c>
      <c r="E58" s="25">
        <v>0</v>
      </c>
      <c r="F58" s="25">
        <v>0</v>
      </c>
      <c r="G58" s="25">
        <v>25.22</v>
      </c>
      <c r="H58" s="25">
        <v>10.16</v>
      </c>
      <c r="I58" s="25">
        <v>136.88</v>
      </c>
      <c r="J58" s="25">
        <v>71.06</v>
      </c>
      <c r="K58" s="25">
        <v>86.03</v>
      </c>
      <c r="L58" s="25">
        <v>60.7</v>
      </c>
      <c r="M58" s="25">
        <v>517.17999999999995</v>
      </c>
      <c r="N58" s="25">
        <v>410.9</v>
      </c>
      <c r="O58" s="25">
        <v>106.36</v>
      </c>
      <c r="P58" s="25">
        <v>96.1</v>
      </c>
      <c r="Q58" s="25">
        <v>491.9</v>
      </c>
      <c r="R58" s="25">
        <v>796.68</v>
      </c>
      <c r="S58" s="25">
        <v>45.51</v>
      </c>
      <c r="T58" s="25">
        <v>172.09</v>
      </c>
      <c r="U58" s="25">
        <v>329.67</v>
      </c>
      <c r="V58" s="25">
        <v>745.15</v>
      </c>
      <c r="W58" s="25">
        <v>146.56</v>
      </c>
      <c r="X58" s="25">
        <v>30.22</v>
      </c>
      <c r="Y58" s="25">
        <v>410.98</v>
      </c>
      <c r="Z58" s="25">
        <v>70.989999999999995</v>
      </c>
      <c r="AA58" s="25">
        <v>86.28</v>
      </c>
      <c r="AB58" s="25">
        <v>70.94</v>
      </c>
      <c r="AC58" s="25">
        <v>569.65</v>
      </c>
      <c r="AD58" s="25">
        <v>819.87</v>
      </c>
      <c r="AE58" s="25">
        <v>75.52</v>
      </c>
      <c r="AF58" s="25">
        <v>111.01</v>
      </c>
      <c r="AG58" s="25">
        <v>1403.94</v>
      </c>
      <c r="AH58" s="25">
        <v>1369.12</v>
      </c>
      <c r="AI58" s="25" t="s">
        <v>88</v>
      </c>
      <c r="AJ58" s="25" t="s">
        <v>89</v>
      </c>
    </row>
    <row r="59" spans="1:36" x14ac:dyDescent="0.25">
      <c r="A59" s="26" t="s">
        <v>204</v>
      </c>
      <c r="B59" t="s">
        <v>205</v>
      </c>
      <c r="C59" s="25">
        <v>0</v>
      </c>
      <c r="D59" s="25">
        <v>0</v>
      </c>
      <c r="E59" s="25">
        <v>0</v>
      </c>
      <c r="F59" s="25">
        <v>0</v>
      </c>
      <c r="G59" s="25">
        <v>0</v>
      </c>
      <c r="H59" s="25">
        <v>0</v>
      </c>
      <c r="I59" s="25">
        <v>24.76</v>
      </c>
      <c r="J59" s="25">
        <v>24.77</v>
      </c>
      <c r="K59" s="25">
        <v>4.99</v>
      </c>
      <c r="L59" s="25">
        <v>0</v>
      </c>
      <c r="M59" s="25">
        <v>35.200000000000003</v>
      </c>
      <c r="N59" s="25">
        <v>10.1</v>
      </c>
      <c r="O59" s="25">
        <v>5.03</v>
      </c>
      <c r="P59" s="25">
        <v>0</v>
      </c>
      <c r="Q59" s="25">
        <v>54.77</v>
      </c>
      <c r="R59" s="25">
        <v>59.58</v>
      </c>
      <c r="S59" s="25">
        <v>10.01</v>
      </c>
      <c r="T59" s="25">
        <v>0</v>
      </c>
      <c r="U59" s="25">
        <v>24.97</v>
      </c>
      <c r="V59" s="25">
        <v>49.7</v>
      </c>
      <c r="W59" s="25">
        <v>10.01</v>
      </c>
      <c r="X59" s="25">
        <v>0</v>
      </c>
      <c r="Y59" s="25">
        <v>34.700000000000003</v>
      </c>
      <c r="Z59" s="25">
        <v>4.9400000000000004</v>
      </c>
      <c r="AA59" s="25">
        <v>5.07</v>
      </c>
      <c r="AB59" s="25">
        <v>5.07</v>
      </c>
      <c r="AC59" s="25">
        <v>115.65</v>
      </c>
      <c r="AD59" s="25">
        <v>115.6</v>
      </c>
      <c r="AE59" s="25">
        <v>0</v>
      </c>
      <c r="AF59" s="25">
        <v>4.9400000000000004</v>
      </c>
      <c r="AG59" s="25">
        <v>79.239999999999995</v>
      </c>
      <c r="AH59" s="25">
        <v>143.63999999999999</v>
      </c>
      <c r="AI59" s="25" t="s">
        <v>94</v>
      </c>
      <c r="AJ59" s="25" t="s">
        <v>89</v>
      </c>
    </row>
    <row r="60" spans="1:36" x14ac:dyDescent="0.25">
      <c r="A60" s="26" t="s">
        <v>206</v>
      </c>
      <c r="B60" t="s">
        <v>207</v>
      </c>
      <c r="C60" s="25">
        <v>0</v>
      </c>
      <c r="D60" s="25">
        <v>0</v>
      </c>
      <c r="E60" s="25">
        <v>0</v>
      </c>
      <c r="F60" s="25">
        <v>0</v>
      </c>
      <c r="G60" s="25">
        <v>15.13</v>
      </c>
      <c r="H60" s="25">
        <v>0</v>
      </c>
      <c r="I60" s="25">
        <v>25.22</v>
      </c>
      <c r="J60" s="25">
        <v>25.22</v>
      </c>
      <c r="K60" s="25">
        <v>0</v>
      </c>
      <c r="L60" s="25">
        <v>5.04</v>
      </c>
      <c r="M60" s="25">
        <v>75.650000000000006</v>
      </c>
      <c r="N60" s="25">
        <v>55.48</v>
      </c>
      <c r="O60" s="25">
        <v>5.04</v>
      </c>
      <c r="P60" s="25">
        <v>10.09</v>
      </c>
      <c r="Q60" s="25">
        <v>121.04</v>
      </c>
      <c r="R60" s="25">
        <v>131.13</v>
      </c>
      <c r="S60" s="25">
        <v>5.04</v>
      </c>
      <c r="T60" s="25">
        <v>5.04</v>
      </c>
      <c r="U60" s="25">
        <v>40.35</v>
      </c>
      <c r="V60" s="25">
        <v>116</v>
      </c>
      <c r="W60" s="25">
        <v>15.13</v>
      </c>
      <c r="X60" s="25">
        <v>5.04</v>
      </c>
      <c r="Y60" s="25">
        <v>100.87</v>
      </c>
      <c r="Z60" s="25">
        <v>10.09</v>
      </c>
      <c r="AA60" s="25">
        <v>5.04</v>
      </c>
      <c r="AB60" s="25">
        <v>5.04</v>
      </c>
      <c r="AC60" s="25">
        <v>181.57</v>
      </c>
      <c r="AD60" s="25">
        <v>156.35</v>
      </c>
      <c r="AE60" s="25">
        <v>0</v>
      </c>
      <c r="AF60" s="25">
        <v>10.09</v>
      </c>
      <c r="AG60" s="25">
        <v>206.78</v>
      </c>
      <c r="AH60" s="25">
        <v>196.7</v>
      </c>
      <c r="AI60" s="25" t="s">
        <v>94</v>
      </c>
      <c r="AJ60" s="25" t="s">
        <v>89</v>
      </c>
    </row>
    <row r="61" spans="1:36" x14ac:dyDescent="0.25">
      <c r="A61" s="26" t="s">
        <v>208</v>
      </c>
      <c r="B61" t="s">
        <v>209</v>
      </c>
      <c r="C61" s="25">
        <v>2.57</v>
      </c>
      <c r="D61" s="25">
        <v>0</v>
      </c>
      <c r="E61" s="25">
        <v>10.37</v>
      </c>
      <c r="F61" s="25">
        <v>3.02</v>
      </c>
      <c r="G61" s="25">
        <v>73.69</v>
      </c>
      <c r="H61" s="25">
        <v>4.9800000000000004</v>
      </c>
      <c r="I61" s="25">
        <v>92.63</v>
      </c>
      <c r="J61" s="25">
        <v>32.89</v>
      </c>
      <c r="K61" s="25">
        <v>39.58</v>
      </c>
      <c r="L61" s="25">
        <v>24.32</v>
      </c>
      <c r="M61" s="25">
        <v>545.74</v>
      </c>
      <c r="N61" s="25">
        <v>296.64</v>
      </c>
      <c r="O61" s="25">
        <v>73.819999999999993</v>
      </c>
      <c r="P61" s="25">
        <v>47.35</v>
      </c>
      <c r="Q61" s="25">
        <v>573.16</v>
      </c>
      <c r="R61" s="25">
        <v>731.5</v>
      </c>
      <c r="S61" s="25">
        <v>61.15</v>
      </c>
      <c r="T61" s="25">
        <v>229.81</v>
      </c>
      <c r="U61" s="25">
        <v>291.83</v>
      </c>
      <c r="V61" s="25">
        <v>844.07</v>
      </c>
      <c r="W61" s="25">
        <v>151.31</v>
      </c>
      <c r="X61" s="25">
        <v>65.900000000000006</v>
      </c>
      <c r="Y61" s="25">
        <v>561.64</v>
      </c>
      <c r="Z61" s="25">
        <v>226.34</v>
      </c>
      <c r="AA61" s="25">
        <v>92.91</v>
      </c>
      <c r="AB61" s="25">
        <v>88.27</v>
      </c>
      <c r="AC61" s="25">
        <v>811.39</v>
      </c>
      <c r="AD61" s="25">
        <v>1270.8699999999999</v>
      </c>
      <c r="AE61" s="25">
        <v>79.23</v>
      </c>
      <c r="AF61" s="25">
        <v>176.13</v>
      </c>
      <c r="AG61" s="25">
        <v>1641.34</v>
      </c>
      <c r="AH61" s="25">
        <v>1555.65</v>
      </c>
      <c r="AI61" s="25" t="s">
        <v>94</v>
      </c>
      <c r="AJ61" s="25" t="s">
        <v>89</v>
      </c>
    </row>
    <row r="62" spans="1:36" x14ac:dyDescent="0.25">
      <c r="A62" s="26" t="s">
        <v>210</v>
      </c>
      <c r="B62" t="s">
        <v>211</v>
      </c>
      <c r="C62" s="25">
        <v>0</v>
      </c>
      <c r="D62" s="25">
        <v>0</v>
      </c>
      <c r="E62" s="25">
        <v>0</v>
      </c>
      <c r="F62" s="25">
        <v>2.6</v>
      </c>
      <c r="G62" s="25">
        <v>117.47</v>
      </c>
      <c r="H62" s="25">
        <v>34.31</v>
      </c>
      <c r="I62" s="25">
        <v>332.55</v>
      </c>
      <c r="J62" s="25">
        <v>126.45</v>
      </c>
      <c r="K62" s="25">
        <v>164.16</v>
      </c>
      <c r="L62" s="25">
        <v>107.4</v>
      </c>
      <c r="M62" s="25">
        <v>1648.49</v>
      </c>
      <c r="N62" s="25">
        <v>1141.33</v>
      </c>
      <c r="O62" s="25">
        <v>211.05</v>
      </c>
      <c r="P62" s="25">
        <v>207.87</v>
      </c>
      <c r="Q62" s="25">
        <v>1470.9</v>
      </c>
      <c r="R62" s="25">
        <v>1813.08</v>
      </c>
      <c r="S62" s="25">
        <v>148.43</v>
      </c>
      <c r="T62" s="25">
        <v>645.64</v>
      </c>
      <c r="U62" s="25">
        <v>1077.7</v>
      </c>
      <c r="V62" s="25">
        <v>2353.7600000000002</v>
      </c>
      <c r="W62" s="25">
        <v>479.59</v>
      </c>
      <c r="X62" s="25">
        <v>99.67</v>
      </c>
      <c r="Y62" s="25">
        <v>1065.82</v>
      </c>
      <c r="Z62" s="25">
        <v>130.52000000000001</v>
      </c>
      <c r="AA62" s="25">
        <v>338.73</v>
      </c>
      <c r="AB62" s="25">
        <v>445.4</v>
      </c>
      <c r="AC62" s="25">
        <v>2240.96</v>
      </c>
      <c r="AD62" s="25">
        <v>2915.84</v>
      </c>
      <c r="AE62" s="25">
        <v>234.03</v>
      </c>
      <c r="AF62" s="25">
        <v>546.88</v>
      </c>
      <c r="AG62" s="25">
        <v>4300.83</v>
      </c>
      <c r="AH62" s="25">
        <v>4432.78</v>
      </c>
      <c r="AI62" s="25" t="s">
        <v>88</v>
      </c>
      <c r="AJ62" s="25" t="s">
        <v>89</v>
      </c>
    </row>
    <row r="63" spans="1:36" x14ac:dyDescent="0.25">
      <c r="A63" s="26" t="s">
        <v>212</v>
      </c>
      <c r="B63" t="s">
        <v>213</v>
      </c>
      <c r="C63" s="25">
        <v>0</v>
      </c>
      <c r="D63" s="25">
        <v>0</v>
      </c>
      <c r="E63" s="25">
        <v>4.97</v>
      </c>
      <c r="F63" s="25">
        <v>0</v>
      </c>
      <c r="G63" s="25">
        <v>0</v>
      </c>
      <c r="H63" s="25">
        <v>0</v>
      </c>
      <c r="I63" s="25">
        <v>24.8</v>
      </c>
      <c r="J63" s="25">
        <v>10.029999999999999</v>
      </c>
      <c r="K63" s="25">
        <v>0</v>
      </c>
      <c r="L63" s="25">
        <v>0</v>
      </c>
      <c r="M63" s="25">
        <v>59.71</v>
      </c>
      <c r="N63" s="25">
        <v>49.84</v>
      </c>
      <c r="O63" s="25">
        <v>0</v>
      </c>
      <c r="P63" s="25">
        <v>0</v>
      </c>
      <c r="Q63" s="25">
        <v>44.78</v>
      </c>
      <c r="R63" s="25">
        <v>59.96</v>
      </c>
      <c r="S63" s="25">
        <v>9.9499999999999993</v>
      </c>
      <c r="T63" s="25">
        <v>14.84</v>
      </c>
      <c r="U63" s="25">
        <v>19.82</v>
      </c>
      <c r="V63" s="25">
        <v>59.87</v>
      </c>
      <c r="W63" s="25">
        <v>4.97</v>
      </c>
      <c r="X63" s="25">
        <v>14.92</v>
      </c>
      <c r="Y63" s="25">
        <v>34.409999999999997</v>
      </c>
      <c r="Z63" s="25">
        <v>0</v>
      </c>
      <c r="AA63" s="25">
        <v>0</v>
      </c>
      <c r="AB63" s="25">
        <v>0</v>
      </c>
      <c r="AC63" s="25">
        <v>86.07</v>
      </c>
      <c r="AD63" s="25">
        <v>60.37</v>
      </c>
      <c r="AE63" s="25">
        <v>5.0599999999999996</v>
      </c>
      <c r="AF63" s="25">
        <v>19.899999999999999</v>
      </c>
      <c r="AG63" s="25">
        <v>78.62</v>
      </c>
      <c r="AH63" s="25">
        <v>122.09</v>
      </c>
      <c r="AI63" s="25" t="s">
        <v>94</v>
      </c>
      <c r="AJ63" s="25" t="s">
        <v>89</v>
      </c>
    </row>
    <row r="64" spans="1:36" x14ac:dyDescent="0.25">
      <c r="A64" s="26" t="s">
        <v>214</v>
      </c>
      <c r="B64" t="s">
        <v>215</v>
      </c>
      <c r="C64" s="25">
        <v>0</v>
      </c>
      <c r="D64" s="25">
        <v>0</v>
      </c>
      <c r="E64" s="25">
        <v>0</v>
      </c>
      <c r="F64" s="25">
        <v>0</v>
      </c>
      <c r="G64" s="25">
        <v>27.8</v>
      </c>
      <c r="H64" s="25">
        <v>0</v>
      </c>
      <c r="I64" s="25">
        <v>106.58</v>
      </c>
      <c r="J64" s="25">
        <v>23.46</v>
      </c>
      <c r="K64" s="25">
        <v>23.17</v>
      </c>
      <c r="L64" s="25">
        <v>4.63</v>
      </c>
      <c r="M64" s="25">
        <v>217.8</v>
      </c>
      <c r="N64" s="25">
        <v>171.46</v>
      </c>
      <c r="O64" s="25">
        <v>50.97</v>
      </c>
      <c r="P64" s="25">
        <v>37.07</v>
      </c>
      <c r="Q64" s="25">
        <v>264.14</v>
      </c>
      <c r="R64" s="25">
        <v>366.09</v>
      </c>
      <c r="S64" s="25">
        <v>55.61</v>
      </c>
      <c r="T64" s="25">
        <v>166.82</v>
      </c>
      <c r="U64" s="25">
        <v>180.73</v>
      </c>
      <c r="V64" s="25">
        <v>463.4</v>
      </c>
      <c r="W64" s="25">
        <v>162.19</v>
      </c>
      <c r="X64" s="25">
        <v>27.8</v>
      </c>
      <c r="Y64" s="25">
        <v>305.83999999999997</v>
      </c>
      <c r="Z64" s="25">
        <v>37.07</v>
      </c>
      <c r="AA64" s="25">
        <v>50.97</v>
      </c>
      <c r="AB64" s="25">
        <v>51.26</v>
      </c>
      <c r="AC64" s="25">
        <v>389.75</v>
      </c>
      <c r="AD64" s="25">
        <v>475.45</v>
      </c>
      <c r="AE64" s="25">
        <v>60.24</v>
      </c>
      <c r="AF64" s="25">
        <v>190.28</v>
      </c>
      <c r="AG64" s="25">
        <v>936.44</v>
      </c>
      <c r="AH64" s="25">
        <v>1024.8499999999999</v>
      </c>
      <c r="AI64" s="25" t="s">
        <v>88</v>
      </c>
      <c r="AJ64" s="25" t="s">
        <v>89</v>
      </c>
    </row>
    <row r="65" spans="1:36" x14ac:dyDescent="0.25">
      <c r="A65" s="26" t="s">
        <v>216</v>
      </c>
      <c r="B65" t="s">
        <v>217</v>
      </c>
      <c r="C65" s="25">
        <v>0</v>
      </c>
      <c r="D65" s="25">
        <v>0</v>
      </c>
      <c r="E65" s="25">
        <v>0</v>
      </c>
      <c r="F65" s="25">
        <v>0</v>
      </c>
      <c r="G65" s="25">
        <v>81.81</v>
      </c>
      <c r="H65" s="25">
        <v>18.13</v>
      </c>
      <c r="I65" s="25">
        <v>57.21</v>
      </c>
      <c r="J65" s="25">
        <v>19.88</v>
      </c>
      <c r="K65" s="25">
        <v>66.2</v>
      </c>
      <c r="L65" s="25">
        <v>41.83</v>
      </c>
      <c r="M65" s="25">
        <v>319.06</v>
      </c>
      <c r="N65" s="25">
        <v>176.68</v>
      </c>
      <c r="O65" s="25">
        <v>175.62</v>
      </c>
      <c r="P65" s="25">
        <v>124.95</v>
      </c>
      <c r="Q65" s="25">
        <v>420.56</v>
      </c>
      <c r="R65" s="25">
        <v>534.30999999999995</v>
      </c>
      <c r="S65" s="25">
        <v>211.73</v>
      </c>
      <c r="T65" s="25">
        <v>670.04</v>
      </c>
      <c r="U65" s="25">
        <v>438.15</v>
      </c>
      <c r="V65" s="25">
        <v>998.01</v>
      </c>
      <c r="W65" s="25">
        <v>523.24</v>
      </c>
      <c r="X65" s="25">
        <v>156.18</v>
      </c>
      <c r="Y65" s="25">
        <v>512.89</v>
      </c>
      <c r="Z65" s="25">
        <v>105.4</v>
      </c>
      <c r="AA65" s="25">
        <v>214.35</v>
      </c>
      <c r="AB65" s="25">
        <v>160.75</v>
      </c>
      <c r="AC65" s="25">
        <v>454.05</v>
      </c>
      <c r="AD65" s="25">
        <v>698.45</v>
      </c>
      <c r="AE65" s="25">
        <v>287.61</v>
      </c>
      <c r="AF65" s="25">
        <v>607.66999999999996</v>
      </c>
      <c r="AG65" s="25">
        <v>2131.11</v>
      </c>
      <c r="AH65" s="25">
        <v>2235.5300000000002</v>
      </c>
      <c r="AI65" s="25" t="s">
        <v>88</v>
      </c>
      <c r="AJ65" s="25" t="s">
        <v>89</v>
      </c>
    </row>
    <row r="66" spans="1:36" x14ac:dyDescent="0.25">
      <c r="A66" s="26" t="s">
        <v>218</v>
      </c>
      <c r="B66" t="s">
        <v>219</v>
      </c>
      <c r="C66" s="25">
        <v>0</v>
      </c>
      <c r="D66" s="25">
        <v>0</v>
      </c>
      <c r="E66" s="25">
        <v>0</v>
      </c>
      <c r="F66" s="25">
        <v>0</v>
      </c>
      <c r="G66" s="25">
        <v>28.05</v>
      </c>
      <c r="H66" s="25">
        <v>12.35</v>
      </c>
      <c r="I66" s="25">
        <v>107.34</v>
      </c>
      <c r="J66" s="25">
        <v>72.38</v>
      </c>
      <c r="K66" s="25">
        <v>69.08</v>
      </c>
      <c r="L66" s="25">
        <v>62.78</v>
      </c>
      <c r="M66" s="25">
        <v>836.74</v>
      </c>
      <c r="N66" s="25">
        <v>537.38</v>
      </c>
      <c r="O66" s="25">
        <v>101.62</v>
      </c>
      <c r="P66" s="25">
        <v>84.68</v>
      </c>
      <c r="Q66" s="25">
        <v>681.7</v>
      </c>
      <c r="R66" s="25">
        <v>912.96</v>
      </c>
      <c r="S66" s="25">
        <v>58.5</v>
      </c>
      <c r="T66" s="25">
        <v>181.48</v>
      </c>
      <c r="U66" s="25">
        <v>329.48</v>
      </c>
      <c r="V66" s="25">
        <v>731.44</v>
      </c>
      <c r="W66" s="25">
        <v>176.41</v>
      </c>
      <c r="X66" s="25">
        <v>32.99</v>
      </c>
      <c r="Y66" s="25">
        <v>452.04</v>
      </c>
      <c r="Z66" s="25">
        <v>74.11</v>
      </c>
      <c r="AA66" s="25">
        <v>109.74</v>
      </c>
      <c r="AB66" s="25">
        <v>93.66</v>
      </c>
      <c r="AC66" s="25">
        <v>797.56</v>
      </c>
      <c r="AD66" s="25">
        <v>1132.5999999999999</v>
      </c>
      <c r="AE66" s="25">
        <v>144.26</v>
      </c>
      <c r="AF66" s="25">
        <v>154.09</v>
      </c>
      <c r="AG66" s="25">
        <v>1626.86</v>
      </c>
      <c r="AH66" s="25">
        <v>1655.72</v>
      </c>
      <c r="AI66" s="25" t="s">
        <v>88</v>
      </c>
      <c r="AJ66" s="25" t="s">
        <v>89</v>
      </c>
    </row>
    <row r="67" spans="1:36" x14ac:dyDescent="0.25">
      <c r="A67" s="26" t="s">
        <v>220</v>
      </c>
      <c r="B67" t="s">
        <v>221</v>
      </c>
      <c r="C67" s="25">
        <v>0</v>
      </c>
      <c r="D67" s="25">
        <v>3.14</v>
      </c>
      <c r="E67" s="25">
        <v>43.09</v>
      </c>
      <c r="F67" s="25">
        <v>6.14</v>
      </c>
      <c r="G67" s="25">
        <v>104.11</v>
      </c>
      <c r="H67" s="25">
        <v>25.89</v>
      </c>
      <c r="I67" s="25">
        <v>202</v>
      </c>
      <c r="J67" s="25">
        <v>108.1</v>
      </c>
      <c r="K67" s="25">
        <v>174.21</v>
      </c>
      <c r="L67" s="25">
        <v>63.8</v>
      </c>
      <c r="M67" s="25">
        <v>592.03</v>
      </c>
      <c r="N67" s="25">
        <v>427.27</v>
      </c>
      <c r="O67" s="25">
        <v>269.17</v>
      </c>
      <c r="P67" s="25">
        <v>159.30000000000001</v>
      </c>
      <c r="Q67" s="25">
        <v>1176.3699999999999</v>
      </c>
      <c r="R67" s="25">
        <v>1223.3599999999999</v>
      </c>
      <c r="S67" s="25">
        <v>227.95</v>
      </c>
      <c r="T67" s="25">
        <v>760.59</v>
      </c>
      <c r="U67" s="25">
        <v>950.18</v>
      </c>
      <c r="V67" s="25">
        <v>2418.56</v>
      </c>
      <c r="W67" s="25">
        <v>941.5</v>
      </c>
      <c r="X67" s="25">
        <v>219.14</v>
      </c>
      <c r="Y67" s="25">
        <v>1554.97</v>
      </c>
      <c r="Z67" s="25">
        <v>316</v>
      </c>
      <c r="AA67" s="25">
        <v>259.35000000000002</v>
      </c>
      <c r="AB67" s="25">
        <v>183.53</v>
      </c>
      <c r="AC67" s="25">
        <v>1387.7</v>
      </c>
      <c r="AD67" s="25">
        <v>2020.24</v>
      </c>
      <c r="AE67" s="25">
        <v>428.36</v>
      </c>
      <c r="AF67" s="25">
        <v>883.24</v>
      </c>
      <c r="AG67" s="25">
        <v>3788.05</v>
      </c>
      <c r="AH67" s="25">
        <v>4152.16</v>
      </c>
      <c r="AI67" s="25" t="s">
        <v>88</v>
      </c>
      <c r="AJ67" s="25" t="s">
        <v>89</v>
      </c>
    </row>
    <row r="68" spans="1:36" x14ac:dyDescent="0.25">
      <c r="A68" s="26" t="s">
        <v>222</v>
      </c>
      <c r="B68" t="s">
        <v>223</v>
      </c>
      <c r="C68" s="25">
        <v>0</v>
      </c>
      <c r="D68" s="25">
        <v>0</v>
      </c>
      <c r="E68" s="25">
        <v>0</v>
      </c>
      <c r="F68" s="25">
        <v>4.99</v>
      </c>
      <c r="G68" s="25">
        <v>4.99</v>
      </c>
      <c r="H68" s="25">
        <v>9.99</v>
      </c>
      <c r="I68" s="25">
        <v>114.84</v>
      </c>
      <c r="J68" s="25">
        <v>24.96</v>
      </c>
      <c r="K68" s="25">
        <v>9.99</v>
      </c>
      <c r="L68" s="25">
        <v>29.96</v>
      </c>
      <c r="M68" s="25">
        <v>299.79000000000002</v>
      </c>
      <c r="N68" s="25">
        <v>189.73</v>
      </c>
      <c r="O68" s="25">
        <v>9.99</v>
      </c>
      <c r="P68" s="25">
        <v>29.96</v>
      </c>
      <c r="Q68" s="25">
        <v>219.69</v>
      </c>
      <c r="R68" s="25">
        <v>244.66</v>
      </c>
      <c r="S68" s="25">
        <v>4.99</v>
      </c>
      <c r="T68" s="25">
        <v>24.96</v>
      </c>
      <c r="U68" s="25">
        <v>40.07</v>
      </c>
      <c r="V68" s="25">
        <v>179.75</v>
      </c>
      <c r="W68" s="25">
        <v>39.94</v>
      </c>
      <c r="X68" s="25">
        <v>14.98</v>
      </c>
      <c r="Y68" s="25">
        <v>34.950000000000003</v>
      </c>
      <c r="Z68" s="25">
        <v>4.99</v>
      </c>
      <c r="AA68" s="25">
        <v>4.99</v>
      </c>
      <c r="AB68" s="25">
        <v>34.950000000000003</v>
      </c>
      <c r="AC68" s="25">
        <v>309.56</v>
      </c>
      <c r="AD68" s="25">
        <v>349.51</v>
      </c>
      <c r="AE68" s="25">
        <v>4.99</v>
      </c>
      <c r="AF68" s="25">
        <v>14.98</v>
      </c>
      <c r="AG68" s="25">
        <v>389.45</v>
      </c>
      <c r="AH68" s="25">
        <v>504.42</v>
      </c>
      <c r="AI68" s="25" t="s">
        <v>88</v>
      </c>
      <c r="AJ68" s="25" t="s">
        <v>89</v>
      </c>
    </row>
    <row r="69" spans="1:36" x14ac:dyDescent="0.25">
      <c r="A69" s="26" t="s">
        <v>224</v>
      </c>
      <c r="B69" t="s">
        <v>225</v>
      </c>
      <c r="C69" s="25">
        <v>0</v>
      </c>
      <c r="D69" s="25">
        <v>0</v>
      </c>
      <c r="E69" s="25">
        <v>10</v>
      </c>
      <c r="F69" s="25">
        <v>10</v>
      </c>
      <c r="G69" s="25">
        <v>20</v>
      </c>
      <c r="H69" s="25">
        <v>15</v>
      </c>
      <c r="I69" s="25">
        <v>85</v>
      </c>
      <c r="J69" s="25">
        <v>25</v>
      </c>
      <c r="K69" s="25">
        <v>40</v>
      </c>
      <c r="L69" s="25">
        <v>30</v>
      </c>
      <c r="M69" s="25">
        <v>325</v>
      </c>
      <c r="N69" s="25">
        <v>250</v>
      </c>
      <c r="O69" s="25">
        <v>20</v>
      </c>
      <c r="P69" s="25">
        <v>20</v>
      </c>
      <c r="Q69" s="25">
        <v>435</v>
      </c>
      <c r="R69" s="25">
        <v>550</v>
      </c>
      <c r="S69" s="25">
        <v>30</v>
      </c>
      <c r="T69" s="25">
        <v>85</v>
      </c>
      <c r="U69" s="25">
        <v>255</v>
      </c>
      <c r="V69" s="25">
        <v>505</v>
      </c>
      <c r="W69" s="25">
        <v>60</v>
      </c>
      <c r="X69" s="25">
        <v>20</v>
      </c>
      <c r="Y69" s="25">
        <v>290</v>
      </c>
      <c r="Z69" s="25">
        <v>50</v>
      </c>
      <c r="AA69" s="25">
        <v>50</v>
      </c>
      <c r="AB69" s="25">
        <v>45</v>
      </c>
      <c r="AC69" s="25">
        <v>715</v>
      </c>
      <c r="AD69" s="25">
        <v>935</v>
      </c>
      <c r="AE69" s="25">
        <v>40</v>
      </c>
      <c r="AF69" s="25">
        <v>70</v>
      </c>
      <c r="AG69" s="25">
        <v>755</v>
      </c>
      <c r="AH69" s="25">
        <v>815</v>
      </c>
      <c r="AI69" s="25" t="s">
        <v>94</v>
      </c>
      <c r="AJ69" s="25" t="s">
        <v>89</v>
      </c>
    </row>
    <row r="70" spans="1:36" x14ac:dyDescent="0.25">
      <c r="A70" s="26" t="s">
        <v>226</v>
      </c>
      <c r="B70" t="s">
        <v>227</v>
      </c>
      <c r="C70" s="25">
        <v>0</v>
      </c>
      <c r="D70" s="25">
        <v>0</v>
      </c>
      <c r="E70" s="25">
        <v>0</v>
      </c>
      <c r="F70" s="25">
        <v>2.52</v>
      </c>
      <c r="G70" s="25">
        <v>474.14</v>
      </c>
      <c r="H70" s="25">
        <v>97.9</v>
      </c>
      <c r="I70" s="25">
        <v>376.81</v>
      </c>
      <c r="J70" s="25">
        <v>145.38999999999999</v>
      </c>
      <c r="K70" s="25">
        <v>899.57</v>
      </c>
      <c r="L70" s="25">
        <v>407.26</v>
      </c>
      <c r="M70" s="25">
        <v>1917.02</v>
      </c>
      <c r="N70" s="25">
        <v>1301.1400000000001</v>
      </c>
      <c r="O70" s="25">
        <v>1105.53</v>
      </c>
      <c r="P70" s="25">
        <v>906.84</v>
      </c>
      <c r="Q70" s="25">
        <v>2906.22</v>
      </c>
      <c r="R70" s="25">
        <v>3479.05</v>
      </c>
      <c r="S70" s="25">
        <v>1054.23</v>
      </c>
      <c r="T70" s="25">
        <v>2799.18</v>
      </c>
      <c r="U70" s="25">
        <v>2138.84</v>
      </c>
      <c r="V70" s="25">
        <v>4734.5200000000004</v>
      </c>
      <c r="W70" s="25">
        <v>2501.4699999999998</v>
      </c>
      <c r="X70" s="25">
        <v>676.76</v>
      </c>
      <c r="Y70" s="25">
        <v>2811.27</v>
      </c>
      <c r="Z70" s="25">
        <v>586.80999999999995</v>
      </c>
      <c r="AA70" s="25">
        <v>950.58</v>
      </c>
      <c r="AB70" s="25">
        <v>744.14</v>
      </c>
      <c r="AC70" s="25">
        <v>2236.44</v>
      </c>
      <c r="AD70" s="25">
        <v>3083.49</v>
      </c>
      <c r="AE70" s="25">
        <v>1622.47</v>
      </c>
      <c r="AF70" s="25">
        <v>3431.07</v>
      </c>
      <c r="AG70" s="25">
        <v>12189.5</v>
      </c>
      <c r="AH70" s="25">
        <v>12387.41</v>
      </c>
      <c r="AI70" s="25" t="s">
        <v>88</v>
      </c>
      <c r="AJ70" s="25" t="s">
        <v>89</v>
      </c>
    </row>
    <row r="71" spans="1:36" x14ac:dyDescent="0.25">
      <c r="A71" s="26" t="s">
        <v>228</v>
      </c>
      <c r="B71" t="s">
        <v>229</v>
      </c>
      <c r="C71" s="25">
        <v>0</v>
      </c>
      <c r="D71" s="25">
        <v>0</v>
      </c>
      <c r="E71" s="25">
        <v>5.2</v>
      </c>
      <c r="F71" s="25">
        <v>0</v>
      </c>
      <c r="G71" s="25">
        <v>25.98</v>
      </c>
      <c r="H71" s="25">
        <v>0</v>
      </c>
      <c r="I71" s="25">
        <v>72.73</v>
      </c>
      <c r="J71" s="25">
        <v>36.369999999999997</v>
      </c>
      <c r="K71" s="25">
        <v>0</v>
      </c>
      <c r="L71" s="25">
        <v>10.39</v>
      </c>
      <c r="M71" s="25">
        <v>181.83</v>
      </c>
      <c r="N71" s="25">
        <v>166.24</v>
      </c>
      <c r="O71" s="25">
        <v>25.98</v>
      </c>
      <c r="P71" s="25">
        <v>20.78</v>
      </c>
      <c r="Q71" s="25">
        <v>213</v>
      </c>
      <c r="R71" s="25">
        <v>374.05</v>
      </c>
      <c r="S71" s="25">
        <v>5.2</v>
      </c>
      <c r="T71" s="25">
        <v>36.369999999999997</v>
      </c>
      <c r="U71" s="25">
        <v>114.29</v>
      </c>
      <c r="V71" s="25">
        <v>342.88</v>
      </c>
      <c r="W71" s="25">
        <v>57.15</v>
      </c>
      <c r="X71" s="25">
        <v>5.2</v>
      </c>
      <c r="Y71" s="25">
        <v>213</v>
      </c>
      <c r="Z71" s="25">
        <v>51.95</v>
      </c>
      <c r="AA71" s="25">
        <v>10.39</v>
      </c>
      <c r="AB71" s="25">
        <v>0</v>
      </c>
      <c r="AC71" s="25">
        <v>326.62</v>
      </c>
      <c r="AD71" s="25">
        <v>373.15</v>
      </c>
      <c r="AE71" s="25">
        <v>36.369999999999997</v>
      </c>
      <c r="AF71" s="25">
        <v>31.06</v>
      </c>
      <c r="AG71" s="25">
        <v>571.46</v>
      </c>
      <c r="AH71" s="25">
        <v>472.64</v>
      </c>
      <c r="AI71" s="25" t="s">
        <v>94</v>
      </c>
      <c r="AJ71" s="25" t="s">
        <v>89</v>
      </c>
    </row>
    <row r="72" spans="1:36" x14ac:dyDescent="0.25">
      <c r="A72" s="26" t="s">
        <v>230</v>
      </c>
      <c r="B72" t="s">
        <v>231</v>
      </c>
      <c r="C72" s="25">
        <v>0</v>
      </c>
      <c r="D72" s="25">
        <v>0</v>
      </c>
      <c r="E72" s="25">
        <v>0</v>
      </c>
      <c r="F72" s="25">
        <v>0</v>
      </c>
      <c r="G72" s="25">
        <v>13.61</v>
      </c>
      <c r="H72" s="25">
        <v>0</v>
      </c>
      <c r="I72" s="25">
        <v>36.28</v>
      </c>
      <c r="J72" s="25">
        <v>18.14</v>
      </c>
      <c r="K72" s="25">
        <v>40.82</v>
      </c>
      <c r="L72" s="25">
        <v>13.61</v>
      </c>
      <c r="M72" s="25">
        <v>104.31</v>
      </c>
      <c r="N72" s="25">
        <v>103.49</v>
      </c>
      <c r="O72" s="25">
        <v>69.16</v>
      </c>
      <c r="P72" s="25">
        <v>99.78</v>
      </c>
      <c r="Q72" s="25">
        <v>324.89999999999998</v>
      </c>
      <c r="R72" s="25">
        <v>408.49</v>
      </c>
      <c r="S72" s="25">
        <v>126.99</v>
      </c>
      <c r="T72" s="25">
        <v>285.3</v>
      </c>
      <c r="U72" s="25">
        <v>740.47</v>
      </c>
      <c r="V72" s="25">
        <v>1109.8900000000001</v>
      </c>
      <c r="W72" s="25">
        <v>263.05</v>
      </c>
      <c r="X72" s="25">
        <v>68.03</v>
      </c>
      <c r="Y72" s="25">
        <v>506.82</v>
      </c>
      <c r="Z72" s="25">
        <v>104.44</v>
      </c>
      <c r="AA72" s="25">
        <v>81.64</v>
      </c>
      <c r="AB72" s="25">
        <v>31.75</v>
      </c>
      <c r="AC72" s="25">
        <v>213.35</v>
      </c>
      <c r="AD72" s="25">
        <v>197.34</v>
      </c>
      <c r="AE72" s="25">
        <v>1705.2</v>
      </c>
      <c r="AF72" s="25">
        <v>434.21</v>
      </c>
      <c r="AG72" s="25">
        <v>4197.1400000000003</v>
      </c>
      <c r="AH72" s="25">
        <v>1350.6</v>
      </c>
      <c r="AI72" s="25" t="s">
        <v>88</v>
      </c>
      <c r="AJ72" s="25" t="s">
        <v>89</v>
      </c>
    </row>
    <row r="73" spans="1:36" x14ac:dyDescent="0.25">
      <c r="A73" s="26" t="s">
        <v>232</v>
      </c>
      <c r="B73" t="s">
        <v>233</v>
      </c>
      <c r="C73" s="25">
        <v>0</v>
      </c>
      <c r="D73" s="25">
        <v>0</v>
      </c>
      <c r="E73" s="25">
        <v>5.48</v>
      </c>
      <c r="F73" s="25">
        <v>0</v>
      </c>
      <c r="G73" s="25">
        <v>0</v>
      </c>
      <c r="H73" s="25">
        <v>0</v>
      </c>
      <c r="I73" s="25">
        <v>0</v>
      </c>
      <c r="J73" s="25">
        <v>0</v>
      </c>
      <c r="K73" s="25">
        <v>0</v>
      </c>
      <c r="L73" s="25">
        <v>0</v>
      </c>
      <c r="M73" s="25">
        <v>5.48</v>
      </c>
      <c r="N73" s="25">
        <v>5.48</v>
      </c>
      <c r="O73" s="25">
        <v>5.48</v>
      </c>
      <c r="P73" s="25">
        <v>0</v>
      </c>
      <c r="Q73" s="25">
        <v>0</v>
      </c>
      <c r="R73" s="25">
        <v>27.38</v>
      </c>
      <c r="S73" s="25">
        <v>0</v>
      </c>
      <c r="T73" s="25">
        <v>0</v>
      </c>
      <c r="U73" s="25">
        <v>16.43</v>
      </c>
      <c r="V73" s="25">
        <v>32.86</v>
      </c>
      <c r="W73" s="25">
        <v>0</v>
      </c>
      <c r="X73" s="25">
        <v>0</v>
      </c>
      <c r="Y73" s="25">
        <v>10.95</v>
      </c>
      <c r="Z73" s="25">
        <v>0</v>
      </c>
      <c r="AA73" s="25">
        <v>0</v>
      </c>
      <c r="AB73" s="25">
        <v>5.48</v>
      </c>
      <c r="AC73" s="25">
        <v>27.38</v>
      </c>
      <c r="AD73" s="25">
        <v>38.33</v>
      </c>
      <c r="AE73" s="25">
        <v>0</v>
      </c>
      <c r="AF73" s="25">
        <v>0</v>
      </c>
      <c r="AG73" s="25">
        <v>10.95</v>
      </c>
      <c r="AH73" s="25">
        <v>16.43</v>
      </c>
      <c r="AI73" s="25" t="s">
        <v>88</v>
      </c>
      <c r="AJ73" s="25" t="s">
        <v>89</v>
      </c>
    </row>
    <row r="74" spans="1:36" x14ac:dyDescent="0.25">
      <c r="A74" s="26" t="s">
        <v>234</v>
      </c>
      <c r="B74" t="s">
        <v>235</v>
      </c>
      <c r="C74" s="25">
        <v>0</v>
      </c>
      <c r="D74" s="25">
        <v>0</v>
      </c>
      <c r="F74" s="25">
        <v>0</v>
      </c>
      <c r="G74" s="25">
        <v>5.44</v>
      </c>
      <c r="H74" s="25">
        <v>0</v>
      </c>
      <c r="I74" s="25">
        <v>58.55</v>
      </c>
      <c r="J74" s="25">
        <v>0</v>
      </c>
      <c r="K74" s="25">
        <v>15.65</v>
      </c>
      <c r="L74" s="25">
        <v>10.63</v>
      </c>
      <c r="M74" s="25">
        <v>154.11000000000001</v>
      </c>
      <c r="N74" s="25">
        <v>101.08</v>
      </c>
      <c r="O74" s="25">
        <v>10.73</v>
      </c>
      <c r="P74" s="25">
        <v>16.07</v>
      </c>
      <c r="Q74" s="25">
        <v>165.2</v>
      </c>
      <c r="R74" s="25">
        <v>218.89</v>
      </c>
      <c r="S74" s="25">
        <v>5.0199999999999996</v>
      </c>
      <c r="T74" s="25">
        <v>36.82</v>
      </c>
      <c r="U74" s="25">
        <v>42.4</v>
      </c>
      <c r="V74" s="25">
        <v>160.01</v>
      </c>
      <c r="W74" s="25">
        <v>10.49</v>
      </c>
      <c r="X74" s="25">
        <v>5.15</v>
      </c>
      <c r="Y74" s="25">
        <v>74.19</v>
      </c>
      <c r="Z74" s="25">
        <v>5.34</v>
      </c>
      <c r="AA74" s="25">
        <v>21.5</v>
      </c>
      <c r="AB74" s="25">
        <v>21.65</v>
      </c>
      <c r="AC74" s="25">
        <v>140.02000000000001</v>
      </c>
      <c r="AD74" s="25">
        <v>129.54</v>
      </c>
      <c r="AE74" s="25">
        <v>15.92</v>
      </c>
      <c r="AF74" s="25">
        <v>5.39</v>
      </c>
      <c r="AG74" s="25">
        <v>337.31</v>
      </c>
      <c r="AH74" s="25">
        <v>394.61</v>
      </c>
      <c r="AI74" s="25" t="s">
        <v>94</v>
      </c>
      <c r="AJ74" s="25" t="s">
        <v>89</v>
      </c>
    </row>
    <row r="75" spans="1:36" x14ac:dyDescent="0.25">
      <c r="A75" s="26" t="s">
        <v>236</v>
      </c>
      <c r="B75" t="s">
        <v>237</v>
      </c>
      <c r="C75" s="25">
        <v>0</v>
      </c>
      <c r="D75" s="25">
        <v>0</v>
      </c>
      <c r="E75" s="25">
        <v>0</v>
      </c>
      <c r="F75" s="25">
        <v>0</v>
      </c>
      <c r="G75" s="25">
        <v>12.63</v>
      </c>
      <c r="H75" s="25">
        <v>0</v>
      </c>
      <c r="I75" s="25">
        <v>43.15</v>
      </c>
      <c r="J75" s="25">
        <v>25.95</v>
      </c>
      <c r="K75" s="25">
        <v>6.32</v>
      </c>
      <c r="L75" s="25">
        <v>0</v>
      </c>
      <c r="M75" s="25">
        <v>76.58</v>
      </c>
      <c r="N75" s="25">
        <v>63.59</v>
      </c>
      <c r="O75" s="25">
        <v>0</v>
      </c>
      <c r="P75" s="25">
        <v>19.04</v>
      </c>
      <c r="Q75" s="25">
        <v>127.03</v>
      </c>
      <c r="R75" s="25">
        <v>178.17</v>
      </c>
      <c r="S75" s="25">
        <v>0</v>
      </c>
      <c r="T75" s="25">
        <v>12.97</v>
      </c>
      <c r="U75" s="25">
        <v>57.28</v>
      </c>
      <c r="V75" s="25">
        <v>74.91</v>
      </c>
      <c r="W75" s="25">
        <v>12.72</v>
      </c>
      <c r="X75" s="25">
        <v>0</v>
      </c>
      <c r="Y75" s="25">
        <v>69.58</v>
      </c>
      <c r="Z75" s="25">
        <v>25.44</v>
      </c>
      <c r="AA75" s="25">
        <v>6.49</v>
      </c>
      <c r="AB75" s="25">
        <v>6.57</v>
      </c>
      <c r="AC75" s="25">
        <v>109.94</v>
      </c>
      <c r="AD75" s="25">
        <v>149.22</v>
      </c>
      <c r="AE75" s="25">
        <v>12.55</v>
      </c>
      <c r="AF75" s="25">
        <v>12.63</v>
      </c>
      <c r="AG75" s="25">
        <v>251.55</v>
      </c>
      <c r="AH75" s="25">
        <v>175.74</v>
      </c>
      <c r="AI75" s="25" t="s">
        <v>94</v>
      </c>
      <c r="AJ75" s="25" t="s">
        <v>89</v>
      </c>
    </row>
    <row r="76" spans="1:36" x14ac:dyDescent="0.25">
      <c r="A76" s="26" t="s">
        <v>238</v>
      </c>
      <c r="B76" t="s">
        <v>239</v>
      </c>
      <c r="C76" s="25">
        <v>0</v>
      </c>
      <c r="D76" s="25">
        <v>0</v>
      </c>
      <c r="E76" s="25">
        <v>0</v>
      </c>
      <c r="F76" s="25">
        <v>0</v>
      </c>
      <c r="G76" s="25">
        <v>0</v>
      </c>
      <c r="H76" s="25">
        <v>0</v>
      </c>
      <c r="I76" s="25">
        <v>5.08</v>
      </c>
      <c r="J76" s="25">
        <v>0</v>
      </c>
      <c r="K76" s="25">
        <v>0</v>
      </c>
      <c r="L76" s="25">
        <v>0</v>
      </c>
      <c r="M76" s="25">
        <v>35.07</v>
      </c>
      <c r="N76" s="25">
        <v>15.07</v>
      </c>
      <c r="O76" s="25">
        <v>0</v>
      </c>
      <c r="P76" s="25">
        <v>4.99</v>
      </c>
      <c r="Q76" s="25">
        <v>50</v>
      </c>
      <c r="R76" s="25">
        <v>50.08</v>
      </c>
      <c r="S76" s="25">
        <v>0</v>
      </c>
      <c r="T76" s="25">
        <v>5.0199999999999996</v>
      </c>
      <c r="U76" s="25">
        <v>10.039999999999999</v>
      </c>
      <c r="V76" s="25">
        <v>50.19</v>
      </c>
      <c r="W76" s="25">
        <v>0</v>
      </c>
      <c r="X76" s="25">
        <v>4.99</v>
      </c>
      <c r="Y76" s="25">
        <v>30.05</v>
      </c>
      <c r="Z76" s="25">
        <v>5.05</v>
      </c>
      <c r="AA76" s="25">
        <v>10.039999999999999</v>
      </c>
      <c r="AB76" s="25">
        <v>0</v>
      </c>
      <c r="AC76" s="25">
        <v>40.369999999999997</v>
      </c>
      <c r="AD76" s="25">
        <v>40.369999999999997</v>
      </c>
      <c r="AE76" s="25">
        <v>0</v>
      </c>
      <c r="AF76" s="25">
        <v>5.0199999999999996</v>
      </c>
      <c r="AG76" s="25">
        <v>94.79</v>
      </c>
      <c r="AH76" s="25">
        <v>64.790000000000006</v>
      </c>
      <c r="AI76" s="25" t="s">
        <v>94</v>
      </c>
      <c r="AJ76" s="25" t="s">
        <v>89</v>
      </c>
    </row>
    <row r="77" spans="1:36" x14ac:dyDescent="0.25">
      <c r="A77" s="26" t="s">
        <v>240</v>
      </c>
      <c r="B77" t="s">
        <v>241</v>
      </c>
      <c r="C77" s="25">
        <v>0</v>
      </c>
      <c r="D77" s="25">
        <v>0</v>
      </c>
      <c r="E77" s="25">
        <v>5</v>
      </c>
      <c r="F77" s="25">
        <v>5</v>
      </c>
      <c r="G77" s="25">
        <v>0</v>
      </c>
      <c r="H77" s="25">
        <v>0</v>
      </c>
      <c r="I77" s="25">
        <v>10</v>
      </c>
      <c r="J77" s="25">
        <v>0</v>
      </c>
      <c r="K77" s="25">
        <v>0</v>
      </c>
      <c r="L77" s="25">
        <v>0</v>
      </c>
      <c r="M77" s="25">
        <v>0</v>
      </c>
      <c r="N77" s="25">
        <v>5</v>
      </c>
      <c r="O77" s="25">
        <v>5</v>
      </c>
      <c r="P77" s="25">
        <v>0</v>
      </c>
      <c r="Q77" s="25">
        <v>5</v>
      </c>
      <c r="R77" s="25">
        <v>15</v>
      </c>
      <c r="S77" s="25">
        <v>0</v>
      </c>
      <c r="T77" s="25">
        <v>5</v>
      </c>
      <c r="U77" s="25">
        <v>5</v>
      </c>
      <c r="V77" s="25">
        <v>5</v>
      </c>
      <c r="W77" s="25">
        <v>5</v>
      </c>
      <c r="X77" s="25">
        <v>0</v>
      </c>
      <c r="Y77" s="25">
        <v>5</v>
      </c>
      <c r="Z77" s="25">
        <v>0</v>
      </c>
      <c r="AA77" s="25">
        <v>0</v>
      </c>
      <c r="AB77" s="25">
        <v>0</v>
      </c>
      <c r="AC77" s="25">
        <v>15</v>
      </c>
      <c r="AD77" s="25">
        <v>5</v>
      </c>
      <c r="AE77" s="25">
        <v>0</v>
      </c>
      <c r="AF77" s="25">
        <v>5</v>
      </c>
      <c r="AG77" s="25">
        <v>5</v>
      </c>
      <c r="AH77" s="25">
        <v>45</v>
      </c>
      <c r="AI77" s="25" t="s">
        <v>88</v>
      </c>
      <c r="AJ77" s="25" t="s">
        <v>89</v>
      </c>
    </row>
    <row r="78" spans="1:36" x14ac:dyDescent="0.25">
      <c r="A78" s="26" t="s">
        <v>242</v>
      </c>
      <c r="B78" t="s">
        <v>243</v>
      </c>
      <c r="C78" s="25">
        <v>0</v>
      </c>
      <c r="D78" s="25">
        <v>0</v>
      </c>
      <c r="E78" s="25">
        <v>0</v>
      </c>
      <c r="F78" s="25">
        <v>0</v>
      </c>
      <c r="G78" s="25">
        <v>19.63</v>
      </c>
      <c r="H78" s="25">
        <v>0</v>
      </c>
      <c r="I78" s="25">
        <v>58.9</v>
      </c>
      <c r="J78" s="25">
        <v>24.54</v>
      </c>
      <c r="K78" s="25">
        <v>19.63</v>
      </c>
      <c r="L78" s="25">
        <v>14.72</v>
      </c>
      <c r="M78" s="25">
        <v>382.84</v>
      </c>
      <c r="N78" s="25">
        <v>176.7</v>
      </c>
      <c r="O78" s="25">
        <v>29.45</v>
      </c>
      <c r="P78" s="25">
        <v>24.54</v>
      </c>
      <c r="Q78" s="25">
        <v>279.77</v>
      </c>
      <c r="R78" s="25">
        <v>343.58</v>
      </c>
      <c r="S78" s="25">
        <v>0</v>
      </c>
      <c r="T78" s="25">
        <v>49.08</v>
      </c>
      <c r="U78" s="25">
        <v>98.16</v>
      </c>
      <c r="V78" s="25">
        <v>265.04000000000002</v>
      </c>
      <c r="W78" s="25">
        <v>29.45</v>
      </c>
      <c r="X78" s="25">
        <v>4.91</v>
      </c>
      <c r="Y78" s="25">
        <v>137.43</v>
      </c>
      <c r="Z78" s="25">
        <v>14.72</v>
      </c>
      <c r="AA78" s="25">
        <v>29.45</v>
      </c>
      <c r="AB78" s="25">
        <v>29.45</v>
      </c>
      <c r="AC78" s="25">
        <v>309.22000000000003</v>
      </c>
      <c r="AD78" s="25">
        <v>319.04000000000002</v>
      </c>
      <c r="AE78" s="25">
        <v>9.82</v>
      </c>
      <c r="AF78" s="25">
        <v>34.36</v>
      </c>
      <c r="AG78" s="25">
        <v>520.27</v>
      </c>
      <c r="AH78" s="25">
        <v>613.53</v>
      </c>
      <c r="AI78" s="25" t="s">
        <v>94</v>
      </c>
      <c r="AJ78" s="25" t="s">
        <v>89</v>
      </c>
    </row>
    <row r="79" spans="1:36" x14ac:dyDescent="0.25">
      <c r="A79" s="26" t="s">
        <v>244</v>
      </c>
      <c r="B79" t="s">
        <v>245</v>
      </c>
      <c r="C79" s="25">
        <v>0</v>
      </c>
      <c r="D79" s="25">
        <v>0</v>
      </c>
      <c r="E79" s="25">
        <v>1.08</v>
      </c>
      <c r="F79" s="25">
        <v>0</v>
      </c>
      <c r="G79" s="25">
        <v>32.07</v>
      </c>
      <c r="H79" s="25">
        <v>16.670000000000002</v>
      </c>
      <c r="I79" s="25">
        <v>254.5</v>
      </c>
      <c r="J79" s="25">
        <v>100.15</v>
      </c>
      <c r="K79" s="25">
        <v>271.02999999999997</v>
      </c>
      <c r="L79" s="25">
        <v>230.35</v>
      </c>
      <c r="M79" s="25">
        <v>2727.56</v>
      </c>
      <c r="N79" s="25">
        <v>1734.11</v>
      </c>
      <c r="O79" s="25">
        <v>108.35</v>
      </c>
      <c r="P79" s="25">
        <v>165.41</v>
      </c>
      <c r="Q79" s="25">
        <v>813.02</v>
      </c>
      <c r="R79" s="25">
        <v>1243.72</v>
      </c>
      <c r="S79" s="25">
        <v>88.86</v>
      </c>
      <c r="T79" s="25">
        <v>244.52</v>
      </c>
      <c r="U79" s="25">
        <v>354.31</v>
      </c>
      <c r="V79" s="25">
        <v>725.53</v>
      </c>
      <c r="W79" s="25">
        <v>89.03</v>
      </c>
      <c r="X79" s="25">
        <v>32.85</v>
      </c>
      <c r="Y79" s="25">
        <v>314.58999999999997</v>
      </c>
      <c r="Z79" s="25">
        <v>62.94</v>
      </c>
      <c r="AA79" s="25">
        <v>201.2</v>
      </c>
      <c r="AB79" s="25">
        <v>190.41</v>
      </c>
      <c r="AC79" s="25">
        <v>1655.52</v>
      </c>
      <c r="AD79" s="25">
        <v>2112.71</v>
      </c>
      <c r="AE79" s="25">
        <v>194.9</v>
      </c>
      <c r="AF79" s="25">
        <v>308.39</v>
      </c>
      <c r="AG79" s="25">
        <v>3893.74</v>
      </c>
      <c r="AH79" s="25">
        <v>3202.48</v>
      </c>
      <c r="AI79" s="25" t="s">
        <v>88</v>
      </c>
      <c r="AJ79" s="25" t="s">
        <v>89</v>
      </c>
    </row>
    <row r="80" spans="1:36" x14ac:dyDescent="0.25">
      <c r="A80" s="26" t="s">
        <v>246</v>
      </c>
      <c r="B80" t="s">
        <v>247</v>
      </c>
      <c r="C80" s="25">
        <v>0</v>
      </c>
      <c r="D80" s="25">
        <v>0</v>
      </c>
      <c r="E80" s="25">
        <v>4.9800000000000004</v>
      </c>
      <c r="F80" s="25">
        <v>0</v>
      </c>
      <c r="G80" s="25">
        <v>0</v>
      </c>
      <c r="H80" s="25">
        <v>0</v>
      </c>
      <c r="I80" s="25">
        <v>24.9</v>
      </c>
      <c r="J80" s="25">
        <v>9.9600000000000009</v>
      </c>
      <c r="K80" s="25">
        <v>0</v>
      </c>
      <c r="L80" s="25">
        <v>0</v>
      </c>
      <c r="M80" s="25">
        <v>34.86</v>
      </c>
      <c r="N80" s="25">
        <v>14.94</v>
      </c>
      <c r="O80" s="25">
        <v>0</v>
      </c>
      <c r="P80" s="25">
        <v>4.9800000000000004</v>
      </c>
      <c r="Q80" s="25">
        <v>39.840000000000003</v>
      </c>
      <c r="R80" s="25">
        <v>69.73</v>
      </c>
      <c r="S80" s="25">
        <v>0</v>
      </c>
      <c r="T80" s="25">
        <v>9.9600000000000009</v>
      </c>
      <c r="U80" s="25">
        <v>9.9600000000000009</v>
      </c>
      <c r="V80" s="25">
        <v>79.69</v>
      </c>
      <c r="W80" s="25">
        <v>14.94</v>
      </c>
      <c r="X80" s="25">
        <v>0</v>
      </c>
      <c r="Y80" s="25">
        <v>69.73</v>
      </c>
      <c r="Z80" s="25">
        <v>9.9600000000000009</v>
      </c>
      <c r="AA80" s="25">
        <v>0</v>
      </c>
      <c r="AB80" s="25">
        <v>0</v>
      </c>
      <c r="AC80" s="25">
        <v>54.78</v>
      </c>
      <c r="AD80" s="25">
        <v>64.75</v>
      </c>
      <c r="AE80" s="25">
        <v>0</v>
      </c>
      <c r="AF80" s="25">
        <v>0</v>
      </c>
      <c r="AG80" s="25">
        <v>149.41</v>
      </c>
      <c r="AH80" s="25">
        <v>84.67</v>
      </c>
      <c r="AI80" s="25" t="s">
        <v>94</v>
      </c>
      <c r="AJ80" s="25" t="s">
        <v>89</v>
      </c>
    </row>
    <row r="81" spans="1:36" x14ac:dyDescent="0.25">
      <c r="A81" s="26" t="s">
        <v>248</v>
      </c>
      <c r="B81" t="s">
        <v>249</v>
      </c>
      <c r="C81" s="25">
        <v>0</v>
      </c>
      <c r="D81" s="25">
        <v>0</v>
      </c>
      <c r="E81" s="25">
        <v>0</v>
      </c>
      <c r="F81" s="25">
        <v>0</v>
      </c>
      <c r="G81" s="25">
        <v>5.19</v>
      </c>
      <c r="H81" s="25">
        <v>5.08</v>
      </c>
      <c r="I81" s="25">
        <v>50.7</v>
      </c>
      <c r="J81" s="25">
        <v>5.08</v>
      </c>
      <c r="K81" s="25">
        <v>10.27</v>
      </c>
      <c r="L81" s="25">
        <v>0</v>
      </c>
      <c r="M81" s="25">
        <v>175.65</v>
      </c>
      <c r="N81" s="25">
        <v>100.68</v>
      </c>
      <c r="O81" s="25">
        <v>9.9499999999999993</v>
      </c>
      <c r="P81" s="25">
        <v>10.06</v>
      </c>
      <c r="Q81" s="25">
        <v>106.31</v>
      </c>
      <c r="R81" s="25">
        <v>86.07</v>
      </c>
      <c r="S81" s="25">
        <v>5.29</v>
      </c>
      <c r="T81" s="25">
        <v>15.67</v>
      </c>
      <c r="U81" s="25">
        <v>15.78</v>
      </c>
      <c r="V81" s="25">
        <v>106.83</v>
      </c>
      <c r="W81" s="25">
        <v>25.62</v>
      </c>
      <c r="X81" s="25">
        <v>20.12</v>
      </c>
      <c r="Y81" s="25">
        <v>30.7</v>
      </c>
      <c r="Z81" s="25">
        <v>10.37</v>
      </c>
      <c r="AA81" s="25">
        <v>0</v>
      </c>
      <c r="AB81" s="25">
        <v>0</v>
      </c>
      <c r="AC81" s="25">
        <v>97.8</v>
      </c>
      <c r="AD81" s="25">
        <v>129.99</v>
      </c>
      <c r="AE81" s="25">
        <v>4.9800000000000004</v>
      </c>
      <c r="AF81" s="25">
        <v>15.14</v>
      </c>
      <c r="AG81" s="25">
        <v>218.37</v>
      </c>
      <c r="AH81" s="25">
        <v>223.76</v>
      </c>
      <c r="AI81" s="25" t="s">
        <v>94</v>
      </c>
      <c r="AJ81" s="25" t="s">
        <v>89</v>
      </c>
    </row>
    <row r="82" spans="1:36" x14ac:dyDescent="0.25">
      <c r="A82" s="26" t="s">
        <v>250</v>
      </c>
      <c r="B82" t="s">
        <v>251</v>
      </c>
      <c r="C82" s="25">
        <v>0</v>
      </c>
      <c r="D82" s="25">
        <v>0</v>
      </c>
      <c r="E82" s="25">
        <v>0</v>
      </c>
      <c r="F82" s="25">
        <v>0</v>
      </c>
      <c r="G82" s="25">
        <v>32.130000000000003</v>
      </c>
      <c r="H82" s="25">
        <v>10.71</v>
      </c>
      <c r="I82" s="25">
        <v>37.549999999999997</v>
      </c>
      <c r="J82" s="25">
        <v>26.92</v>
      </c>
      <c r="K82" s="25">
        <v>32.24</v>
      </c>
      <c r="L82" s="25">
        <v>10.72</v>
      </c>
      <c r="M82" s="25">
        <v>305.73</v>
      </c>
      <c r="N82" s="25">
        <v>214.65</v>
      </c>
      <c r="O82" s="25">
        <v>5.35</v>
      </c>
      <c r="P82" s="25">
        <v>26.73</v>
      </c>
      <c r="Q82" s="25">
        <v>134.30000000000001</v>
      </c>
      <c r="R82" s="25">
        <v>166.28</v>
      </c>
      <c r="S82" s="25">
        <v>10.72</v>
      </c>
      <c r="T82" s="25">
        <v>42.95</v>
      </c>
      <c r="U82" s="25">
        <v>69.77</v>
      </c>
      <c r="V82" s="25">
        <v>101.97</v>
      </c>
      <c r="W82" s="25">
        <v>37.53</v>
      </c>
      <c r="X82" s="25">
        <v>10.71</v>
      </c>
      <c r="Y82" s="25">
        <v>80.52</v>
      </c>
      <c r="Z82" s="25">
        <v>21.47</v>
      </c>
      <c r="AA82" s="25">
        <v>32.18</v>
      </c>
      <c r="AB82" s="25">
        <v>42.92</v>
      </c>
      <c r="AC82" s="25">
        <v>199.24</v>
      </c>
      <c r="AD82" s="25">
        <v>188.6</v>
      </c>
      <c r="AE82" s="25">
        <v>0</v>
      </c>
      <c r="AF82" s="25">
        <v>53.67</v>
      </c>
      <c r="AG82" s="25">
        <v>396.11</v>
      </c>
      <c r="AH82" s="25">
        <v>460.38</v>
      </c>
      <c r="AI82" s="25" t="s">
        <v>88</v>
      </c>
      <c r="AJ82" s="25" t="s">
        <v>89</v>
      </c>
    </row>
    <row r="83" spans="1:36" x14ac:dyDescent="0.25">
      <c r="A83" s="26" t="s">
        <v>252</v>
      </c>
      <c r="B83" t="s">
        <v>253</v>
      </c>
      <c r="C83" s="25">
        <v>0</v>
      </c>
      <c r="D83" s="25">
        <v>0</v>
      </c>
      <c r="E83" s="25">
        <v>0</v>
      </c>
      <c r="F83" s="25">
        <v>0</v>
      </c>
      <c r="G83" s="25">
        <v>0</v>
      </c>
      <c r="H83" s="25">
        <v>0</v>
      </c>
      <c r="I83" s="25">
        <v>35.619999999999997</v>
      </c>
      <c r="J83" s="25">
        <v>10.18</v>
      </c>
      <c r="K83" s="25">
        <v>10.18</v>
      </c>
      <c r="L83" s="25">
        <v>10.18</v>
      </c>
      <c r="M83" s="25">
        <v>66.16</v>
      </c>
      <c r="N83" s="25">
        <v>30.54</v>
      </c>
      <c r="O83" s="25">
        <v>5.09</v>
      </c>
      <c r="P83" s="25">
        <v>0</v>
      </c>
      <c r="Q83" s="25">
        <v>76.34</v>
      </c>
      <c r="R83" s="25">
        <v>117.05</v>
      </c>
      <c r="S83" s="25">
        <v>0</v>
      </c>
      <c r="T83" s="25">
        <v>5.09</v>
      </c>
      <c r="U83" s="25">
        <v>45.8</v>
      </c>
      <c r="V83" s="25">
        <v>127.23</v>
      </c>
      <c r="W83" s="25">
        <v>5.09</v>
      </c>
      <c r="X83" s="25">
        <v>0</v>
      </c>
      <c r="Y83" s="25">
        <v>61.07</v>
      </c>
      <c r="Z83" s="25">
        <v>0</v>
      </c>
      <c r="AA83" s="25">
        <v>10.18</v>
      </c>
      <c r="AB83" s="25">
        <v>0</v>
      </c>
      <c r="AC83" s="25">
        <v>127.23</v>
      </c>
      <c r="AD83" s="25">
        <v>96.69</v>
      </c>
      <c r="AE83" s="25">
        <v>0</v>
      </c>
      <c r="AF83" s="25">
        <v>15.27</v>
      </c>
      <c r="AG83" s="25">
        <v>188.3</v>
      </c>
      <c r="AH83" s="25">
        <v>178.12</v>
      </c>
      <c r="AI83" s="25" t="s">
        <v>94</v>
      </c>
      <c r="AJ83" s="25" t="s">
        <v>89</v>
      </c>
    </row>
    <row r="84" spans="1:36" x14ac:dyDescent="0.25">
      <c r="A84" s="26" t="s">
        <v>254</v>
      </c>
      <c r="B84" t="s">
        <v>255</v>
      </c>
      <c r="C84" s="25">
        <v>0</v>
      </c>
      <c r="D84" s="25">
        <v>0</v>
      </c>
      <c r="E84" s="25">
        <v>0</v>
      </c>
      <c r="F84" s="25">
        <v>0</v>
      </c>
      <c r="G84" s="25">
        <v>231.7</v>
      </c>
      <c r="H84" s="25">
        <v>74.040000000000006</v>
      </c>
      <c r="I84" s="25">
        <v>139.47999999999999</v>
      </c>
      <c r="J84" s="25">
        <v>23.38</v>
      </c>
      <c r="K84" s="25">
        <v>113.68</v>
      </c>
      <c r="L84" s="25">
        <v>41.26</v>
      </c>
      <c r="M84" s="25">
        <v>210.63</v>
      </c>
      <c r="N84" s="25">
        <v>150.69999999999999</v>
      </c>
      <c r="O84" s="25">
        <v>375.9</v>
      </c>
      <c r="P84" s="25">
        <v>335.88</v>
      </c>
      <c r="Q84" s="25">
        <v>681.03</v>
      </c>
      <c r="R84" s="25">
        <v>739.98</v>
      </c>
      <c r="S84" s="25">
        <v>706.53</v>
      </c>
      <c r="T84" s="25">
        <v>1507.24</v>
      </c>
      <c r="U84" s="25">
        <v>603.15</v>
      </c>
      <c r="V84" s="25">
        <v>1453.11</v>
      </c>
      <c r="W84" s="25">
        <v>1927.04</v>
      </c>
      <c r="X84" s="25">
        <v>440.97</v>
      </c>
      <c r="Y84" s="25">
        <v>1187.69</v>
      </c>
      <c r="Z84" s="25">
        <v>216.98</v>
      </c>
      <c r="AA84" s="25">
        <v>533.48</v>
      </c>
      <c r="AB84" s="25">
        <v>410.8</v>
      </c>
      <c r="AC84" s="25">
        <v>556.91</v>
      </c>
      <c r="AD84" s="25">
        <v>939.81</v>
      </c>
      <c r="AE84" s="25">
        <v>1411.07</v>
      </c>
      <c r="AF84" s="25">
        <v>2485.04</v>
      </c>
      <c r="AG84" s="25">
        <v>5415.64</v>
      </c>
      <c r="AH84" s="25">
        <v>5824.86</v>
      </c>
      <c r="AI84" s="25" t="s">
        <v>88</v>
      </c>
      <c r="AJ84" s="25" t="s">
        <v>89</v>
      </c>
    </row>
    <row r="85" spans="1:36" x14ac:dyDescent="0.25">
      <c r="A85" s="26" t="s">
        <v>256</v>
      </c>
      <c r="B85" t="s">
        <v>257</v>
      </c>
      <c r="C85" s="25">
        <v>0</v>
      </c>
      <c r="D85" s="25">
        <v>0</v>
      </c>
      <c r="E85" s="25">
        <v>0</v>
      </c>
      <c r="F85" s="25">
        <v>0</v>
      </c>
      <c r="G85" s="25">
        <v>0</v>
      </c>
      <c r="H85" s="25">
        <v>0</v>
      </c>
      <c r="I85" s="25">
        <v>20.11</v>
      </c>
      <c r="J85" s="25">
        <v>5.0199999999999996</v>
      </c>
      <c r="K85" s="25">
        <v>9.76</v>
      </c>
      <c r="L85" s="25">
        <v>0</v>
      </c>
      <c r="M85" s="25">
        <v>79.7</v>
      </c>
      <c r="N85" s="25">
        <v>34.299999999999997</v>
      </c>
      <c r="O85" s="25">
        <v>5.18</v>
      </c>
      <c r="P85" s="25">
        <v>0</v>
      </c>
      <c r="Q85" s="25">
        <v>44.53</v>
      </c>
      <c r="R85" s="25">
        <v>64.760000000000005</v>
      </c>
      <c r="S85" s="25">
        <v>0</v>
      </c>
      <c r="T85" s="25">
        <v>0</v>
      </c>
      <c r="U85" s="25">
        <v>29.41</v>
      </c>
      <c r="V85" s="25">
        <v>79.08</v>
      </c>
      <c r="W85" s="25">
        <v>5.33</v>
      </c>
      <c r="X85" s="25">
        <v>0</v>
      </c>
      <c r="Y85" s="25">
        <v>40.22</v>
      </c>
      <c r="Z85" s="25">
        <v>14.35</v>
      </c>
      <c r="AA85" s="25">
        <v>0</v>
      </c>
      <c r="AB85" s="25">
        <v>0</v>
      </c>
      <c r="AC85" s="25">
        <v>41.42</v>
      </c>
      <c r="AD85" s="25">
        <v>30.76</v>
      </c>
      <c r="AE85" s="25">
        <v>0</v>
      </c>
      <c r="AF85" s="25">
        <v>0</v>
      </c>
      <c r="AG85" s="25">
        <v>112.07</v>
      </c>
      <c r="AH85" s="25">
        <v>93.71</v>
      </c>
      <c r="AI85" s="25" t="s">
        <v>88</v>
      </c>
      <c r="AJ85" s="25" t="s">
        <v>89</v>
      </c>
    </row>
    <row r="86" spans="1:36" x14ac:dyDescent="0.25">
      <c r="A86" s="26" t="s">
        <v>258</v>
      </c>
      <c r="B86" t="s">
        <v>259</v>
      </c>
      <c r="C86" s="25">
        <v>0</v>
      </c>
      <c r="D86" s="25">
        <v>0</v>
      </c>
      <c r="E86" s="25">
        <v>5.15</v>
      </c>
      <c r="F86" s="25">
        <v>0</v>
      </c>
      <c r="G86" s="25">
        <v>0</v>
      </c>
      <c r="H86" s="25">
        <v>0</v>
      </c>
      <c r="I86" s="25">
        <v>15.45</v>
      </c>
      <c r="J86" s="25">
        <v>5.15</v>
      </c>
      <c r="K86" s="25">
        <v>5.15</v>
      </c>
      <c r="L86" s="25">
        <v>0</v>
      </c>
      <c r="M86" s="25">
        <v>36.049999999999997</v>
      </c>
      <c r="N86" s="25">
        <v>36.049999999999997</v>
      </c>
      <c r="O86" s="25">
        <v>5.15</v>
      </c>
      <c r="P86" s="25">
        <v>0</v>
      </c>
      <c r="Q86" s="25">
        <v>56.65</v>
      </c>
      <c r="R86" s="25">
        <v>72.099999999999994</v>
      </c>
      <c r="S86" s="25">
        <v>5.15</v>
      </c>
      <c r="T86" s="25">
        <v>10.3</v>
      </c>
      <c r="U86" s="25">
        <v>56.65</v>
      </c>
      <c r="V86" s="25">
        <v>82.4</v>
      </c>
      <c r="W86" s="25">
        <v>5.15</v>
      </c>
      <c r="X86" s="25">
        <v>0</v>
      </c>
      <c r="Y86" s="25">
        <v>46.35</v>
      </c>
      <c r="Z86" s="25">
        <v>5.15</v>
      </c>
      <c r="AA86" s="25">
        <v>0</v>
      </c>
      <c r="AB86" s="25">
        <v>0</v>
      </c>
      <c r="AC86" s="25">
        <v>87.55</v>
      </c>
      <c r="AD86" s="25">
        <v>103</v>
      </c>
      <c r="AE86" s="25">
        <v>0</v>
      </c>
      <c r="AF86" s="25">
        <v>0</v>
      </c>
      <c r="AG86" s="25">
        <v>144.19999999999999</v>
      </c>
      <c r="AH86" s="25">
        <v>128.75</v>
      </c>
      <c r="AI86" s="25" t="s">
        <v>94</v>
      </c>
      <c r="AJ86" s="25" t="s">
        <v>89</v>
      </c>
    </row>
    <row r="87" spans="1:36" x14ac:dyDescent="0.25">
      <c r="A87" s="26" t="s">
        <v>260</v>
      </c>
      <c r="B87" t="s">
        <v>261</v>
      </c>
      <c r="C87" s="25">
        <v>0</v>
      </c>
      <c r="D87" s="25">
        <v>0</v>
      </c>
      <c r="E87" s="25">
        <v>5.0199999999999996</v>
      </c>
      <c r="F87" s="25">
        <v>0</v>
      </c>
      <c r="G87" s="25">
        <v>0</v>
      </c>
      <c r="H87" s="25">
        <v>0</v>
      </c>
      <c r="I87" s="25">
        <v>20.04</v>
      </c>
      <c r="J87" s="25">
        <v>0</v>
      </c>
      <c r="K87" s="25">
        <v>0</v>
      </c>
      <c r="L87" s="25">
        <v>0</v>
      </c>
      <c r="M87" s="25">
        <v>20.04</v>
      </c>
      <c r="N87" s="25">
        <v>15.05</v>
      </c>
      <c r="O87" s="25">
        <v>5.0199999999999996</v>
      </c>
      <c r="P87" s="25">
        <v>5.01</v>
      </c>
      <c r="Q87" s="25">
        <v>70.12</v>
      </c>
      <c r="R87" s="25">
        <v>60.15</v>
      </c>
      <c r="S87" s="25">
        <v>0</v>
      </c>
      <c r="T87" s="25">
        <v>10.02</v>
      </c>
      <c r="U87" s="25">
        <v>25.05</v>
      </c>
      <c r="V87" s="25">
        <v>60.12</v>
      </c>
      <c r="W87" s="25">
        <v>5</v>
      </c>
      <c r="X87" s="25">
        <v>5</v>
      </c>
      <c r="Y87" s="25">
        <v>50.18</v>
      </c>
      <c r="Z87" s="25">
        <v>0</v>
      </c>
      <c r="AA87" s="25">
        <v>5.01</v>
      </c>
      <c r="AB87" s="25">
        <v>5.01</v>
      </c>
      <c r="AC87" s="25">
        <v>75.290000000000006</v>
      </c>
      <c r="AD87" s="25">
        <v>85.35</v>
      </c>
      <c r="AE87" s="25">
        <v>5.01</v>
      </c>
      <c r="AF87" s="25">
        <v>15.04</v>
      </c>
      <c r="AG87" s="25">
        <v>120.22</v>
      </c>
      <c r="AH87" s="25">
        <v>165.2</v>
      </c>
      <c r="AI87" s="25" t="s">
        <v>88</v>
      </c>
      <c r="AJ87" s="25" t="s">
        <v>89</v>
      </c>
    </row>
    <row r="88" spans="1:36" x14ac:dyDescent="0.25">
      <c r="A88" s="26" t="s">
        <v>262</v>
      </c>
      <c r="B88" t="s">
        <v>263</v>
      </c>
      <c r="C88" s="25">
        <v>0</v>
      </c>
      <c r="D88" s="25">
        <v>0</v>
      </c>
      <c r="E88" s="25">
        <v>2.5</v>
      </c>
      <c r="F88" s="25">
        <v>0</v>
      </c>
      <c r="G88" s="25">
        <v>51.02</v>
      </c>
      <c r="H88" s="25">
        <v>1</v>
      </c>
      <c r="I88" s="25">
        <v>155.16</v>
      </c>
      <c r="J88" s="25">
        <v>33.74</v>
      </c>
      <c r="K88" s="25">
        <v>76.47</v>
      </c>
      <c r="L88" s="25">
        <v>77.11</v>
      </c>
      <c r="M88" s="25">
        <v>986.61</v>
      </c>
      <c r="N88" s="25">
        <v>768.83</v>
      </c>
      <c r="O88" s="25">
        <v>50.31</v>
      </c>
      <c r="P88" s="25">
        <v>60.28</v>
      </c>
      <c r="Q88" s="25">
        <v>580.87</v>
      </c>
      <c r="R88" s="25">
        <v>702.38</v>
      </c>
      <c r="S88" s="25">
        <v>18.149999999999999</v>
      </c>
      <c r="T88" s="25">
        <v>113.54</v>
      </c>
      <c r="U88" s="25">
        <v>209.98</v>
      </c>
      <c r="V88" s="25">
        <v>496.87</v>
      </c>
      <c r="W88" s="25">
        <v>94.62</v>
      </c>
      <c r="X88" s="25">
        <v>38.72</v>
      </c>
      <c r="Y88" s="25">
        <v>350.22</v>
      </c>
      <c r="Z88" s="25">
        <v>39.58</v>
      </c>
      <c r="AA88" s="25">
        <v>86.37</v>
      </c>
      <c r="AB88" s="25">
        <v>69.8</v>
      </c>
      <c r="AC88" s="25">
        <v>748.91</v>
      </c>
      <c r="AD88" s="25">
        <v>935.44</v>
      </c>
      <c r="AE88" s="25">
        <v>99.42</v>
      </c>
      <c r="AF88" s="25">
        <v>147.58000000000001</v>
      </c>
      <c r="AG88" s="25">
        <v>1481.7</v>
      </c>
      <c r="AH88" s="25">
        <v>1568.8</v>
      </c>
      <c r="AI88" s="25" t="s">
        <v>88</v>
      </c>
      <c r="AJ88" s="25" t="s">
        <v>89</v>
      </c>
    </row>
    <row r="89" spans="1:36" x14ac:dyDescent="0.25">
      <c r="A89" s="26" t="s">
        <v>264</v>
      </c>
      <c r="B89" t="s">
        <v>265</v>
      </c>
      <c r="C89" s="25">
        <v>0</v>
      </c>
      <c r="D89" s="25">
        <v>0</v>
      </c>
      <c r="E89" s="25">
        <v>5.04</v>
      </c>
      <c r="F89" s="25">
        <v>0</v>
      </c>
      <c r="G89" s="25">
        <v>15.11</v>
      </c>
      <c r="H89" s="25">
        <v>10.07</v>
      </c>
      <c r="I89" s="25">
        <v>115.85</v>
      </c>
      <c r="J89" s="25">
        <v>40.29</v>
      </c>
      <c r="K89" s="25">
        <v>35.26</v>
      </c>
      <c r="L89" s="25">
        <v>30.22</v>
      </c>
      <c r="M89" s="25">
        <v>327.39</v>
      </c>
      <c r="N89" s="25">
        <v>226.65</v>
      </c>
      <c r="O89" s="25">
        <v>45.33</v>
      </c>
      <c r="P89" s="25">
        <v>45.33</v>
      </c>
      <c r="Q89" s="25">
        <v>528.86</v>
      </c>
      <c r="R89" s="25">
        <v>549</v>
      </c>
      <c r="S89" s="25">
        <v>30.22</v>
      </c>
      <c r="T89" s="25">
        <v>75.55</v>
      </c>
      <c r="U89" s="25">
        <v>231.69</v>
      </c>
      <c r="V89" s="25">
        <v>619.52</v>
      </c>
      <c r="W89" s="25">
        <v>30.22</v>
      </c>
      <c r="X89" s="25">
        <v>10.07</v>
      </c>
      <c r="Y89" s="25">
        <v>372.72</v>
      </c>
      <c r="Z89" s="25">
        <v>95.7</v>
      </c>
      <c r="AA89" s="25">
        <v>65.48</v>
      </c>
      <c r="AB89" s="25">
        <v>20.149999999999999</v>
      </c>
      <c r="AC89" s="25">
        <v>528.86</v>
      </c>
      <c r="AD89" s="25">
        <v>559.08000000000004</v>
      </c>
      <c r="AE89" s="25">
        <v>10.07</v>
      </c>
      <c r="AF89" s="25">
        <v>20.149999999999999</v>
      </c>
      <c r="AG89" s="25">
        <v>921.72</v>
      </c>
      <c r="AH89" s="25">
        <v>1007.35</v>
      </c>
      <c r="AI89" s="25" t="s">
        <v>94</v>
      </c>
      <c r="AJ89" s="25" t="s">
        <v>89</v>
      </c>
    </row>
    <row r="90" spans="1:36" x14ac:dyDescent="0.25">
      <c r="A90" s="26" t="s">
        <v>266</v>
      </c>
      <c r="B90" t="s">
        <v>267</v>
      </c>
      <c r="C90" s="25">
        <v>0</v>
      </c>
      <c r="D90" s="25">
        <v>0</v>
      </c>
      <c r="E90" s="25">
        <v>0</v>
      </c>
      <c r="F90" s="25">
        <v>0</v>
      </c>
      <c r="G90" s="25">
        <v>5</v>
      </c>
      <c r="H90" s="25">
        <v>0</v>
      </c>
      <c r="I90" s="25">
        <v>34.97</v>
      </c>
      <c r="J90" s="25">
        <v>24.98</v>
      </c>
      <c r="K90" s="25">
        <v>5</v>
      </c>
      <c r="L90" s="25">
        <v>0</v>
      </c>
      <c r="M90" s="25">
        <v>139.87</v>
      </c>
      <c r="N90" s="25">
        <v>74.930000000000007</v>
      </c>
      <c r="O90" s="25">
        <v>0</v>
      </c>
      <c r="P90" s="25">
        <v>9.99</v>
      </c>
      <c r="Q90" s="25">
        <v>149.86000000000001</v>
      </c>
      <c r="R90" s="25">
        <v>164.85</v>
      </c>
      <c r="S90" s="25">
        <v>0</v>
      </c>
      <c r="T90" s="25">
        <v>29.97</v>
      </c>
      <c r="U90" s="25">
        <v>74.930000000000007</v>
      </c>
      <c r="V90" s="25">
        <v>164.85</v>
      </c>
      <c r="W90" s="25">
        <v>0</v>
      </c>
      <c r="X90" s="25">
        <v>0</v>
      </c>
      <c r="Y90" s="25">
        <v>99.91</v>
      </c>
      <c r="Z90" s="25">
        <v>9.99</v>
      </c>
      <c r="AA90" s="25">
        <v>5</v>
      </c>
      <c r="AB90" s="25">
        <v>0</v>
      </c>
      <c r="AC90" s="25">
        <v>159.85</v>
      </c>
      <c r="AD90" s="25">
        <v>199.82</v>
      </c>
      <c r="AE90" s="25">
        <v>0</v>
      </c>
      <c r="AF90" s="25">
        <v>5</v>
      </c>
      <c r="AG90" s="25">
        <v>284.32</v>
      </c>
      <c r="AH90" s="25">
        <v>303.89</v>
      </c>
      <c r="AI90" s="25" t="s">
        <v>94</v>
      </c>
      <c r="AJ90" s="25" t="s">
        <v>89</v>
      </c>
    </row>
    <row r="91" spans="1:36" x14ac:dyDescent="0.25">
      <c r="A91" s="26" t="s">
        <v>268</v>
      </c>
      <c r="B91" t="s">
        <v>269</v>
      </c>
      <c r="C91" s="25">
        <v>0</v>
      </c>
      <c r="D91" s="25">
        <v>0</v>
      </c>
      <c r="E91" s="25">
        <v>5.01</v>
      </c>
      <c r="F91" s="25">
        <v>0</v>
      </c>
      <c r="G91" s="25">
        <v>5.01</v>
      </c>
      <c r="H91" s="25">
        <v>5.01</v>
      </c>
      <c r="I91" s="25">
        <v>30.05</v>
      </c>
      <c r="J91" s="25">
        <v>5.01</v>
      </c>
      <c r="K91" s="25">
        <v>0</v>
      </c>
      <c r="L91" s="25">
        <v>10.02</v>
      </c>
      <c r="M91" s="25">
        <v>85.13</v>
      </c>
      <c r="N91" s="25">
        <v>50.08</v>
      </c>
      <c r="O91" s="25">
        <v>0</v>
      </c>
      <c r="P91" s="25">
        <v>0</v>
      </c>
      <c r="Q91" s="25">
        <v>25.04</v>
      </c>
      <c r="R91" s="25">
        <v>45.07</v>
      </c>
      <c r="S91" s="25">
        <v>0</v>
      </c>
      <c r="T91" s="25">
        <v>5.01</v>
      </c>
      <c r="U91" s="25">
        <v>5.01</v>
      </c>
      <c r="V91" s="25">
        <v>45.07</v>
      </c>
      <c r="W91" s="25">
        <v>0</v>
      </c>
      <c r="X91" s="25">
        <v>0</v>
      </c>
      <c r="Y91" s="25">
        <v>5.01</v>
      </c>
      <c r="Z91" s="25">
        <v>0</v>
      </c>
      <c r="AA91" s="25">
        <v>0</v>
      </c>
      <c r="AB91" s="25">
        <v>0</v>
      </c>
      <c r="AC91" s="25">
        <v>45.07</v>
      </c>
      <c r="AD91" s="25">
        <v>45.07</v>
      </c>
      <c r="AE91" s="25">
        <v>5.01</v>
      </c>
      <c r="AF91" s="25">
        <v>10.02</v>
      </c>
      <c r="AG91" s="25">
        <v>90.14</v>
      </c>
      <c r="AH91" s="25">
        <v>100.16</v>
      </c>
      <c r="AI91" s="25" t="s">
        <v>94</v>
      </c>
      <c r="AJ91" s="25" t="s">
        <v>89</v>
      </c>
    </row>
    <row r="92" spans="1:36" x14ac:dyDescent="0.25">
      <c r="A92" s="26" t="s">
        <v>270</v>
      </c>
      <c r="B92" t="s">
        <v>271</v>
      </c>
      <c r="C92" s="25">
        <v>0</v>
      </c>
      <c r="D92" s="25">
        <v>0</v>
      </c>
      <c r="E92" s="25">
        <v>0</v>
      </c>
      <c r="F92" s="25">
        <v>0</v>
      </c>
      <c r="G92" s="25">
        <v>106.19</v>
      </c>
      <c r="H92" s="25">
        <v>20.69</v>
      </c>
      <c r="I92" s="25">
        <v>110.02</v>
      </c>
      <c r="J92" s="25">
        <v>71.98</v>
      </c>
      <c r="K92" s="25">
        <v>236.47</v>
      </c>
      <c r="L92" s="25">
        <v>179.49</v>
      </c>
      <c r="M92" s="25">
        <v>1129.4100000000001</v>
      </c>
      <c r="N92" s="25">
        <v>768.41</v>
      </c>
      <c r="O92" s="25">
        <v>181.64</v>
      </c>
      <c r="P92" s="25">
        <v>279.13</v>
      </c>
      <c r="Q92" s="25">
        <v>828.29</v>
      </c>
      <c r="R92" s="25">
        <v>1046.58</v>
      </c>
      <c r="S92" s="25">
        <v>237.81</v>
      </c>
      <c r="T92" s="25">
        <v>591.85</v>
      </c>
      <c r="U92" s="25">
        <v>585.72</v>
      </c>
      <c r="V92" s="25">
        <v>1046.1300000000001</v>
      </c>
      <c r="W92" s="25">
        <v>493.56</v>
      </c>
      <c r="X92" s="25">
        <v>192.91</v>
      </c>
      <c r="Y92" s="25">
        <v>538.46</v>
      </c>
      <c r="Z92" s="25">
        <v>123.7</v>
      </c>
      <c r="AA92" s="25">
        <v>260.36</v>
      </c>
      <c r="AB92" s="25">
        <v>215.23</v>
      </c>
      <c r="AC92" s="25">
        <v>930.46</v>
      </c>
      <c r="AD92" s="25">
        <v>1387.18</v>
      </c>
      <c r="AE92" s="25">
        <v>309.64</v>
      </c>
      <c r="AF92" s="25">
        <v>551.58000000000004</v>
      </c>
      <c r="AG92" s="25">
        <v>2042.22</v>
      </c>
      <c r="AH92" s="25">
        <v>2214.38</v>
      </c>
      <c r="AI92" s="25" t="s">
        <v>101</v>
      </c>
      <c r="AJ92" s="25" t="s">
        <v>89</v>
      </c>
    </row>
    <row r="93" spans="1:36" x14ac:dyDescent="0.25">
      <c r="A93" s="26" t="s">
        <v>272</v>
      </c>
      <c r="B93" t="s">
        <v>273</v>
      </c>
      <c r="C93" s="25">
        <v>0</v>
      </c>
      <c r="D93" s="25">
        <v>0</v>
      </c>
      <c r="E93" s="25">
        <v>0</v>
      </c>
      <c r="F93" s="25">
        <v>0</v>
      </c>
      <c r="G93" s="25">
        <v>19.64</v>
      </c>
      <c r="H93" s="25">
        <v>0</v>
      </c>
      <c r="I93" s="25">
        <v>45.59</v>
      </c>
      <c r="J93" s="25">
        <v>30.32</v>
      </c>
      <c r="K93" s="25">
        <v>34.75</v>
      </c>
      <c r="L93" s="25">
        <v>25.43</v>
      </c>
      <c r="M93" s="25">
        <v>377.11</v>
      </c>
      <c r="N93" s="25">
        <v>251.62</v>
      </c>
      <c r="O93" s="25">
        <v>9.85</v>
      </c>
      <c r="P93" s="25">
        <v>80.040000000000006</v>
      </c>
      <c r="Q93" s="25">
        <v>408.75</v>
      </c>
      <c r="R93" s="25">
        <v>447.23</v>
      </c>
      <c r="S93" s="25">
        <v>5.04</v>
      </c>
      <c r="T93" s="25">
        <v>50.4</v>
      </c>
      <c r="U93" s="25">
        <v>200.94</v>
      </c>
      <c r="V93" s="25">
        <v>502.58</v>
      </c>
      <c r="W93" s="25">
        <v>74.61</v>
      </c>
      <c r="X93" s="25">
        <v>9.85</v>
      </c>
      <c r="Y93" s="25">
        <v>266.98</v>
      </c>
      <c r="Z93" s="25">
        <v>35.21</v>
      </c>
      <c r="AA93" s="25">
        <v>50.71</v>
      </c>
      <c r="AB93" s="25">
        <v>25.52</v>
      </c>
      <c r="AC93" s="25">
        <v>398.08</v>
      </c>
      <c r="AD93" s="25">
        <v>559.15</v>
      </c>
      <c r="AE93" s="25">
        <v>19.489999999999998</v>
      </c>
      <c r="AF93" s="25">
        <v>24.9</v>
      </c>
      <c r="AG93" s="25">
        <v>788.95</v>
      </c>
      <c r="AH93" s="25">
        <v>785.55</v>
      </c>
      <c r="AI93" s="25" t="s">
        <v>94</v>
      </c>
      <c r="AJ93" s="25" t="s">
        <v>89</v>
      </c>
    </row>
    <row r="94" spans="1:36" x14ac:dyDescent="0.25">
      <c r="A94" s="26" t="s">
        <v>274</v>
      </c>
      <c r="B94" t="s">
        <v>275</v>
      </c>
      <c r="C94" s="25">
        <v>0</v>
      </c>
      <c r="D94" s="25">
        <v>0</v>
      </c>
      <c r="E94" s="25">
        <v>5</v>
      </c>
      <c r="F94" s="25">
        <v>0</v>
      </c>
      <c r="G94" s="25">
        <v>5</v>
      </c>
      <c r="H94" s="25">
        <v>0</v>
      </c>
      <c r="I94" s="25">
        <v>45</v>
      </c>
      <c r="J94" s="25">
        <v>5</v>
      </c>
      <c r="K94" s="25">
        <v>0</v>
      </c>
      <c r="L94" s="25">
        <v>0</v>
      </c>
      <c r="M94" s="25">
        <v>90</v>
      </c>
      <c r="N94" s="25">
        <v>70</v>
      </c>
      <c r="O94" s="25">
        <v>5</v>
      </c>
      <c r="P94" s="25">
        <v>10</v>
      </c>
      <c r="Q94" s="25">
        <v>120</v>
      </c>
      <c r="R94" s="25">
        <v>140</v>
      </c>
      <c r="S94" s="25">
        <v>0</v>
      </c>
      <c r="T94" s="25">
        <v>0</v>
      </c>
      <c r="U94" s="25">
        <v>60</v>
      </c>
      <c r="V94" s="25">
        <v>125</v>
      </c>
      <c r="W94" s="25">
        <v>10</v>
      </c>
      <c r="X94" s="25">
        <v>5</v>
      </c>
      <c r="Y94" s="25">
        <v>70</v>
      </c>
      <c r="Z94" s="25">
        <v>5</v>
      </c>
      <c r="AA94" s="25">
        <v>0</v>
      </c>
      <c r="AB94" s="25">
        <v>15</v>
      </c>
      <c r="AC94" s="25">
        <v>115</v>
      </c>
      <c r="AD94" s="25">
        <v>145</v>
      </c>
      <c r="AE94" s="25">
        <v>5</v>
      </c>
      <c r="AF94" s="25">
        <v>0</v>
      </c>
      <c r="AG94" s="25">
        <v>200</v>
      </c>
      <c r="AH94" s="25">
        <v>220</v>
      </c>
      <c r="AI94" s="25" t="s">
        <v>94</v>
      </c>
      <c r="AJ94" s="25" t="s">
        <v>89</v>
      </c>
    </row>
    <row r="95" spans="1:36" x14ac:dyDescent="0.25">
      <c r="A95" s="26" t="s">
        <v>276</v>
      </c>
      <c r="B95" t="s">
        <v>277</v>
      </c>
      <c r="C95" s="25">
        <v>0</v>
      </c>
      <c r="D95" s="25">
        <v>0</v>
      </c>
      <c r="E95" s="25">
        <v>4.8499999999999996</v>
      </c>
      <c r="F95" s="25">
        <v>0</v>
      </c>
      <c r="G95" s="25">
        <v>30.28</v>
      </c>
      <c r="H95" s="25">
        <v>4.57</v>
      </c>
      <c r="I95" s="25">
        <v>71.78</v>
      </c>
      <c r="J95" s="25">
        <v>5.15</v>
      </c>
      <c r="K95" s="25">
        <v>34.83</v>
      </c>
      <c r="L95" s="25">
        <v>15.74</v>
      </c>
      <c r="M95" s="25">
        <v>275.5</v>
      </c>
      <c r="N95" s="25">
        <v>169.17</v>
      </c>
      <c r="O95" s="25">
        <v>46.04</v>
      </c>
      <c r="P95" s="25">
        <v>15.14</v>
      </c>
      <c r="Q95" s="25">
        <v>308.74</v>
      </c>
      <c r="R95" s="25">
        <v>466.67</v>
      </c>
      <c r="S95" s="25">
        <v>0</v>
      </c>
      <c r="T95" s="25">
        <v>54.86</v>
      </c>
      <c r="U95" s="25">
        <v>143.85</v>
      </c>
      <c r="V95" s="25">
        <v>427.04</v>
      </c>
      <c r="W95" s="25">
        <v>34.869999999999997</v>
      </c>
      <c r="X95" s="25">
        <v>10.14</v>
      </c>
      <c r="Y95" s="25">
        <v>209.73</v>
      </c>
      <c r="Z95" s="25">
        <v>26.35</v>
      </c>
      <c r="AA95" s="25">
        <v>14.99</v>
      </c>
      <c r="AB95" s="25">
        <v>14.43</v>
      </c>
      <c r="AC95" s="25">
        <v>283.52999999999997</v>
      </c>
      <c r="AD95" s="25">
        <v>274.95</v>
      </c>
      <c r="AE95" s="25">
        <v>24.19</v>
      </c>
      <c r="AF95" s="25">
        <v>78.260000000000005</v>
      </c>
      <c r="AG95" s="25">
        <v>679.91</v>
      </c>
      <c r="AH95" s="25">
        <v>717.68</v>
      </c>
      <c r="AI95" s="25" t="s">
        <v>88</v>
      </c>
      <c r="AJ95" s="25" t="s">
        <v>89</v>
      </c>
    </row>
    <row r="96" spans="1:36" x14ac:dyDescent="0.25">
      <c r="A96" s="26" t="s">
        <v>278</v>
      </c>
      <c r="B96" t="s">
        <v>279</v>
      </c>
      <c r="C96" s="25">
        <v>0</v>
      </c>
      <c r="D96" s="25">
        <v>0</v>
      </c>
      <c r="E96" s="25">
        <v>5</v>
      </c>
      <c r="F96" s="25">
        <v>0</v>
      </c>
      <c r="G96" s="25">
        <v>35.72</v>
      </c>
      <c r="H96" s="25">
        <v>0</v>
      </c>
      <c r="I96" s="25">
        <v>142.79</v>
      </c>
      <c r="J96" s="25">
        <v>40.83</v>
      </c>
      <c r="K96" s="25">
        <v>40.83</v>
      </c>
      <c r="L96" s="25">
        <v>25.52</v>
      </c>
      <c r="M96" s="25">
        <v>571.59</v>
      </c>
      <c r="N96" s="25">
        <v>413.38</v>
      </c>
      <c r="O96" s="25">
        <v>45.93</v>
      </c>
      <c r="P96" s="25">
        <v>35.72</v>
      </c>
      <c r="Q96" s="25">
        <v>382.76</v>
      </c>
      <c r="R96" s="25">
        <v>520.55999999999995</v>
      </c>
      <c r="S96" s="25">
        <v>0</v>
      </c>
      <c r="T96" s="25">
        <v>148</v>
      </c>
      <c r="U96" s="25">
        <v>117.38</v>
      </c>
      <c r="V96" s="25">
        <v>357.24</v>
      </c>
      <c r="W96" s="25">
        <v>51.03</v>
      </c>
      <c r="X96" s="25">
        <v>20.41</v>
      </c>
      <c r="Y96" s="25">
        <v>209.24</v>
      </c>
      <c r="Z96" s="25">
        <v>40.83</v>
      </c>
      <c r="AA96" s="25">
        <v>71.45</v>
      </c>
      <c r="AB96" s="25">
        <v>107.17</v>
      </c>
      <c r="AC96" s="25">
        <v>632.83000000000004</v>
      </c>
      <c r="AD96" s="25">
        <v>750.21</v>
      </c>
      <c r="AE96" s="25">
        <v>15.31</v>
      </c>
      <c r="AF96" s="25">
        <v>80.34</v>
      </c>
      <c r="AG96" s="25">
        <v>822.15</v>
      </c>
      <c r="AH96" s="25">
        <v>974.57</v>
      </c>
      <c r="AI96" s="25" t="s">
        <v>94</v>
      </c>
      <c r="AJ96" s="25" t="s">
        <v>89</v>
      </c>
    </row>
    <row r="97" spans="1:36" x14ac:dyDescent="0.25">
      <c r="A97" s="26" t="s">
        <v>280</v>
      </c>
      <c r="B97" t="s">
        <v>281</v>
      </c>
      <c r="C97" s="25">
        <v>0</v>
      </c>
      <c r="D97" s="25">
        <v>0</v>
      </c>
      <c r="E97" s="25">
        <v>0</v>
      </c>
      <c r="F97" s="25">
        <v>0</v>
      </c>
      <c r="G97" s="25">
        <v>49.68</v>
      </c>
      <c r="H97" s="25">
        <v>29.81</v>
      </c>
      <c r="I97" s="25">
        <v>228.58</v>
      </c>
      <c r="J97" s="25">
        <v>94.4</v>
      </c>
      <c r="K97" s="25">
        <v>19.87</v>
      </c>
      <c r="L97" s="25">
        <v>31.48</v>
      </c>
      <c r="M97" s="25">
        <v>322.95</v>
      </c>
      <c r="N97" s="25">
        <v>238.48</v>
      </c>
      <c r="O97" s="25">
        <v>44.72</v>
      </c>
      <c r="P97" s="25">
        <v>39.75</v>
      </c>
      <c r="Q97" s="25">
        <v>427.29</v>
      </c>
      <c r="R97" s="25">
        <v>612.78</v>
      </c>
      <c r="S97" s="25">
        <v>31.51</v>
      </c>
      <c r="T97" s="25">
        <v>94.4</v>
      </c>
      <c r="U97" s="25">
        <v>266.42</v>
      </c>
      <c r="V97" s="25">
        <v>467.03</v>
      </c>
      <c r="W97" s="25">
        <v>54.65</v>
      </c>
      <c r="X97" s="25">
        <v>29.81</v>
      </c>
      <c r="Y97" s="25">
        <v>337.85</v>
      </c>
      <c r="Z97" s="25">
        <v>59.62</v>
      </c>
      <c r="AA97" s="25">
        <v>44.72</v>
      </c>
      <c r="AB97" s="25">
        <v>44.72</v>
      </c>
      <c r="AC97" s="25">
        <v>452.13</v>
      </c>
      <c r="AD97" s="25">
        <v>556.5</v>
      </c>
      <c r="AE97" s="25">
        <v>47.35</v>
      </c>
      <c r="AF97" s="25">
        <v>81.19</v>
      </c>
      <c r="AG97" s="25">
        <v>1095.31</v>
      </c>
      <c r="AH97" s="25">
        <v>999.56</v>
      </c>
      <c r="AI97" s="25" t="s">
        <v>88</v>
      </c>
      <c r="AJ97" s="25" t="s">
        <v>89</v>
      </c>
    </row>
    <row r="98" spans="1:36" x14ac:dyDescent="0.25">
      <c r="A98" s="26" t="s">
        <v>282</v>
      </c>
      <c r="B98" t="s">
        <v>283</v>
      </c>
      <c r="C98" s="25">
        <v>0</v>
      </c>
      <c r="D98" s="25">
        <v>0</v>
      </c>
      <c r="E98" s="25">
        <v>0</v>
      </c>
      <c r="F98" s="25">
        <v>0</v>
      </c>
      <c r="G98" s="25">
        <v>40.520000000000003</v>
      </c>
      <c r="H98" s="25">
        <v>0</v>
      </c>
      <c r="I98" s="25">
        <v>35.46</v>
      </c>
      <c r="J98" s="25">
        <v>20.260000000000002</v>
      </c>
      <c r="K98" s="25">
        <v>60.79</v>
      </c>
      <c r="L98" s="25">
        <v>30.39</v>
      </c>
      <c r="M98" s="25">
        <v>319.13</v>
      </c>
      <c r="N98" s="25">
        <v>222.88</v>
      </c>
      <c r="O98" s="25">
        <v>70.92</v>
      </c>
      <c r="P98" s="25">
        <v>75.98</v>
      </c>
      <c r="Q98" s="25">
        <v>521.75</v>
      </c>
      <c r="R98" s="25">
        <v>516.67999999999995</v>
      </c>
      <c r="S98" s="25">
        <v>50.66</v>
      </c>
      <c r="T98" s="25">
        <v>141.83000000000001</v>
      </c>
      <c r="U98" s="25">
        <v>243.14</v>
      </c>
      <c r="V98" s="25">
        <v>699.04</v>
      </c>
      <c r="W98" s="25">
        <v>91.18</v>
      </c>
      <c r="X98" s="25">
        <v>35.46</v>
      </c>
      <c r="Y98" s="25">
        <v>455.83</v>
      </c>
      <c r="Z98" s="25">
        <v>60.79</v>
      </c>
      <c r="AA98" s="25">
        <v>40.520000000000003</v>
      </c>
      <c r="AB98" s="25">
        <v>65.849999999999994</v>
      </c>
      <c r="AC98" s="25">
        <v>607.86</v>
      </c>
      <c r="AD98" s="25">
        <v>714.17</v>
      </c>
      <c r="AE98" s="25">
        <v>35.46</v>
      </c>
      <c r="AF98" s="25">
        <v>55.72</v>
      </c>
      <c r="AG98" s="25">
        <v>1220.1300000000001</v>
      </c>
      <c r="AH98" s="25">
        <v>1032.9100000000001</v>
      </c>
      <c r="AI98" s="25" t="s">
        <v>88</v>
      </c>
      <c r="AJ98" s="25" t="s">
        <v>89</v>
      </c>
    </row>
    <row r="99" spans="1:36" x14ac:dyDescent="0.25">
      <c r="A99" s="26" t="s">
        <v>284</v>
      </c>
      <c r="B99" t="s">
        <v>285</v>
      </c>
      <c r="C99" s="25">
        <v>0</v>
      </c>
      <c r="D99" s="25">
        <v>0</v>
      </c>
      <c r="E99" s="25">
        <v>3.78</v>
      </c>
      <c r="F99" s="25">
        <v>0</v>
      </c>
      <c r="G99" s="25">
        <v>125.13</v>
      </c>
      <c r="H99" s="25">
        <v>17.47</v>
      </c>
      <c r="I99" s="25">
        <v>220.14</v>
      </c>
      <c r="J99" s="25">
        <v>48.57</v>
      </c>
      <c r="K99" s="25">
        <v>169.69</v>
      </c>
      <c r="L99" s="25">
        <v>77.69</v>
      </c>
      <c r="M99" s="25">
        <v>1057.3800000000001</v>
      </c>
      <c r="N99" s="25">
        <v>768.59</v>
      </c>
      <c r="O99" s="25">
        <v>214.62</v>
      </c>
      <c r="P99" s="25">
        <v>187.92</v>
      </c>
      <c r="Q99" s="25">
        <v>1045.4000000000001</v>
      </c>
      <c r="R99" s="25">
        <v>1353.93</v>
      </c>
      <c r="S99" s="25">
        <v>207.29</v>
      </c>
      <c r="T99" s="25">
        <v>580.77</v>
      </c>
      <c r="U99" s="25">
        <v>749.8</v>
      </c>
      <c r="V99" s="25">
        <v>1567.09</v>
      </c>
      <c r="W99" s="25">
        <v>578.08000000000004</v>
      </c>
      <c r="X99" s="25">
        <v>155.51</v>
      </c>
      <c r="Y99" s="25">
        <v>957.33</v>
      </c>
      <c r="Z99" s="25">
        <v>219.98</v>
      </c>
      <c r="AA99" s="25">
        <v>282.58999999999997</v>
      </c>
      <c r="AB99" s="25">
        <v>294.74</v>
      </c>
      <c r="AC99" s="25">
        <v>1281.8599999999999</v>
      </c>
      <c r="AD99" s="25">
        <v>1880.2</v>
      </c>
      <c r="AE99" s="25">
        <v>258.91000000000003</v>
      </c>
      <c r="AF99" s="25">
        <v>593.41999999999996</v>
      </c>
      <c r="AG99" s="25">
        <v>3022.02</v>
      </c>
      <c r="AH99" s="25">
        <v>3292.04</v>
      </c>
      <c r="AI99" s="25" t="s">
        <v>88</v>
      </c>
      <c r="AJ99" s="25" t="s">
        <v>89</v>
      </c>
    </row>
    <row r="100" spans="1:36" x14ac:dyDescent="0.25">
      <c r="A100" s="26" t="s">
        <v>286</v>
      </c>
      <c r="B100" t="s">
        <v>287</v>
      </c>
      <c r="C100" s="25">
        <v>0</v>
      </c>
      <c r="D100" s="25">
        <v>0</v>
      </c>
      <c r="E100" s="25">
        <v>15</v>
      </c>
      <c r="F100" s="25">
        <v>0</v>
      </c>
      <c r="G100" s="25">
        <v>44.55</v>
      </c>
      <c r="H100" s="25">
        <v>4.5599999999999996</v>
      </c>
      <c r="I100" s="25">
        <v>113.53</v>
      </c>
      <c r="J100" s="25">
        <v>35.01</v>
      </c>
      <c r="K100" s="25">
        <v>34.18</v>
      </c>
      <c r="L100" s="25">
        <v>34.54</v>
      </c>
      <c r="M100" s="25">
        <v>558.74</v>
      </c>
      <c r="N100" s="25">
        <v>415.57</v>
      </c>
      <c r="O100" s="25">
        <v>20.18</v>
      </c>
      <c r="P100" s="25">
        <v>29.72</v>
      </c>
      <c r="Q100" s="25">
        <v>380.67</v>
      </c>
      <c r="R100" s="25">
        <v>489.72</v>
      </c>
      <c r="S100" s="25">
        <v>9.91</v>
      </c>
      <c r="T100" s="25">
        <v>63.83</v>
      </c>
      <c r="U100" s="25">
        <v>193.53</v>
      </c>
      <c r="V100" s="25">
        <v>449.66</v>
      </c>
      <c r="W100" s="25">
        <v>83.13</v>
      </c>
      <c r="X100" s="25">
        <v>4.91</v>
      </c>
      <c r="Y100" s="25">
        <v>265.52</v>
      </c>
      <c r="Z100" s="25">
        <v>64.81</v>
      </c>
      <c r="AA100" s="25">
        <v>50.44</v>
      </c>
      <c r="AB100" s="25">
        <v>71.349999999999994</v>
      </c>
      <c r="AC100" s="25">
        <v>471.92</v>
      </c>
      <c r="AD100" s="25">
        <v>559.16</v>
      </c>
      <c r="AE100" s="25">
        <v>29.64</v>
      </c>
      <c r="AF100" s="25">
        <v>69.28</v>
      </c>
      <c r="AG100" s="25">
        <v>713.83</v>
      </c>
      <c r="AH100" s="25">
        <v>1045.0899999999999</v>
      </c>
      <c r="AI100" s="25" t="s">
        <v>88</v>
      </c>
      <c r="AJ100" s="25" t="s">
        <v>89</v>
      </c>
    </row>
    <row r="101" spans="1:36" x14ac:dyDescent="0.25">
      <c r="A101" s="26" t="s">
        <v>288</v>
      </c>
      <c r="B101" t="s">
        <v>289</v>
      </c>
      <c r="C101" s="25">
        <v>0</v>
      </c>
      <c r="D101" s="25">
        <v>0</v>
      </c>
      <c r="E101" s="25">
        <v>0</v>
      </c>
      <c r="F101" s="25">
        <v>0</v>
      </c>
      <c r="G101" s="25">
        <v>9.81</v>
      </c>
      <c r="H101" s="25">
        <v>5.27</v>
      </c>
      <c r="I101" s="25">
        <v>44.31</v>
      </c>
      <c r="J101" s="25">
        <v>25.01</v>
      </c>
      <c r="K101" s="25">
        <v>0</v>
      </c>
      <c r="L101" s="25">
        <v>4.97</v>
      </c>
      <c r="M101" s="25">
        <v>114.37</v>
      </c>
      <c r="N101" s="25">
        <v>53.39</v>
      </c>
      <c r="O101" s="25">
        <v>14.92</v>
      </c>
      <c r="P101" s="25">
        <v>5.12</v>
      </c>
      <c r="Q101" s="25">
        <v>248.65</v>
      </c>
      <c r="R101" s="25">
        <v>183.25</v>
      </c>
      <c r="S101" s="25">
        <v>4.42</v>
      </c>
      <c r="T101" s="25">
        <v>58.69</v>
      </c>
      <c r="U101" s="25">
        <v>45.36</v>
      </c>
      <c r="V101" s="25">
        <v>216.76</v>
      </c>
      <c r="W101" s="25">
        <v>34.520000000000003</v>
      </c>
      <c r="X101" s="25">
        <v>5.12</v>
      </c>
      <c r="Y101" s="25">
        <v>164.59</v>
      </c>
      <c r="Z101" s="25">
        <v>29.99</v>
      </c>
      <c r="AA101" s="25">
        <v>25.6</v>
      </c>
      <c r="AB101" s="25">
        <v>10.24</v>
      </c>
      <c r="AC101" s="25">
        <v>266.14999999999998</v>
      </c>
      <c r="AD101" s="25">
        <v>375.18</v>
      </c>
      <c r="AE101" s="25">
        <v>9.9600000000000009</v>
      </c>
      <c r="AF101" s="25">
        <v>29.55</v>
      </c>
      <c r="AG101" s="25">
        <v>304.49</v>
      </c>
      <c r="AH101" s="25">
        <v>437.98</v>
      </c>
      <c r="AI101" s="25" t="s">
        <v>94</v>
      </c>
      <c r="AJ101" s="25" t="s">
        <v>89</v>
      </c>
    </row>
    <row r="102" spans="1:36" x14ac:dyDescent="0.25">
      <c r="A102" s="26" t="s">
        <v>290</v>
      </c>
      <c r="B102" t="s">
        <v>291</v>
      </c>
      <c r="C102" s="25">
        <v>0</v>
      </c>
      <c r="D102" s="25">
        <v>0</v>
      </c>
      <c r="E102" s="25">
        <v>0</v>
      </c>
      <c r="F102" s="25">
        <v>0</v>
      </c>
      <c r="G102" s="25">
        <v>9.9700000000000006</v>
      </c>
      <c r="H102" s="25">
        <v>4.96</v>
      </c>
      <c r="I102" s="25">
        <v>159.71</v>
      </c>
      <c r="J102" s="25">
        <v>85.04</v>
      </c>
      <c r="K102" s="25">
        <v>30.07</v>
      </c>
      <c r="L102" s="25">
        <v>29.96</v>
      </c>
      <c r="M102" s="25">
        <v>674.6</v>
      </c>
      <c r="N102" s="25">
        <v>400.44</v>
      </c>
      <c r="O102" s="25">
        <v>45.21</v>
      </c>
      <c r="P102" s="25">
        <v>35.08</v>
      </c>
      <c r="Q102" s="25">
        <v>525.4</v>
      </c>
      <c r="R102" s="25">
        <v>692.22</v>
      </c>
      <c r="S102" s="25">
        <v>5.01</v>
      </c>
      <c r="T102" s="25">
        <v>74.62</v>
      </c>
      <c r="U102" s="25">
        <v>140.99</v>
      </c>
      <c r="V102" s="25">
        <v>661.5</v>
      </c>
      <c r="W102" s="25">
        <v>84.94</v>
      </c>
      <c r="X102" s="25">
        <v>15.37</v>
      </c>
      <c r="Y102" s="25">
        <v>365.98</v>
      </c>
      <c r="Z102" s="25">
        <v>80.069999999999993</v>
      </c>
      <c r="AA102" s="25">
        <v>40.51</v>
      </c>
      <c r="AB102" s="25">
        <v>45.63</v>
      </c>
      <c r="AC102" s="25">
        <v>587.36</v>
      </c>
      <c r="AD102" s="25">
        <v>825.27</v>
      </c>
      <c r="AE102" s="25">
        <v>65.11</v>
      </c>
      <c r="AF102" s="25">
        <v>39.76</v>
      </c>
      <c r="AG102" s="25">
        <v>1133.95</v>
      </c>
      <c r="AH102" s="25">
        <v>1325.4</v>
      </c>
      <c r="AI102" s="25" t="s">
        <v>88</v>
      </c>
      <c r="AJ102" s="25" t="s">
        <v>89</v>
      </c>
    </row>
    <row r="103" spans="1:36" x14ac:dyDescent="0.25">
      <c r="A103" s="26" t="s">
        <v>292</v>
      </c>
      <c r="B103" t="s">
        <v>293</v>
      </c>
      <c r="C103" s="25">
        <v>0</v>
      </c>
      <c r="D103" s="25">
        <v>0</v>
      </c>
      <c r="E103" s="25">
        <v>5</v>
      </c>
      <c r="F103" s="25">
        <v>5</v>
      </c>
      <c r="G103" s="25">
        <v>0</v>
      </c>
      <c r="H103" s="25">
        <v>0</v>
      </c>
      <c r="I103" s="25">
        <v>0</v>
      </c>
      <c r="J103" s="25">
        <v>0</v>
      </c>
      <c r="K103" s="25">
        <v>0</v>
      </c>
      <c r="L103" s="25">
        <v>0</v>
      </c>
      <c r="M103" s="25">
        <v>0</v>
      </c>
      <c r="N103" s="25">
        <v>0</v>
      </c>
      <c r="O103" s="25">
        <v>0</v>
      </c>
      <c r="P103" s="25">
        <v>0</v>
      </c>
      <c r="Q103" s="25">
        <v>25</v>
      </c>
      <c r="R103" s="25">
        <v>20</v>
      </c>
      <c r="S103" s="25">
        <v>0</v>
      </c>
      <c r="T103" s="25">
        <v>0</v>
      </c>
      <c r="U103" s="25">
        <v>10</v>
      </c>
      <c r="V103" s="25">
        <v>25</v>
      </c>
      <c r="W103" s="25">
        <v>0</v>
      </c>
      <c r="X103" s="25">
        <v>0</v>
      </c>
      <c r="Y103" s="25">
        <v>30</v>
      </c>
      <c r="Z103" s="25">
        <v>10</v>
      </c>
      <c r="AA103" s="25">
        <v>0</v>
      </c>
      <c r="AB103" s="25">
        <v>0</v>
      </c>
      <c r="AC103" s="25">
        <v>25</v>
      </c>
      <c r="AD103" s="25">
        <v>10</v>
      </c>
      <c r="AE103" s="25">
        <v>0</v>
      </c>
      <c r="AF103" s="25">
        <v>0</v>
      </c>
      <c r="AG103" s="25">
        <v>25</v>
      </c>
      <c r="AH103" s="25">
        <v>35</v>
      </c>
      <c r="AI103" s="25" t="s">
        <v>88</v>
      </c>
      <c r="AJ103" s="25" t="s">
        <v>89</v>
      </c>
    </row>
    <row r="104" spans="1:36" x14ac:dyDescent="0.25">
      <c r="A104" s="26" t="s">
        <v>294</v>
      </c>
      <c r="B104" t="s">
        <v>295</v>
      </c>
      <c r="C104" s="25">
        <v>0</v>
      </c>
      <c r="D104" s="25">
        <v>0</v>
      </c>
      <c r="E104" s="25">
        <v>0</v>
      </c>
      <c r="F104" s="25">
        <v>0</v>
      </c>
      <c r="G104" s="25">
        <v>5</v>
      </c>
      <c r="H104" s="25">
        <v>0</v>
      </c>
      <c r="I104" s="25">
        <v>30</v>
      </c>
      <c r="J104" s="25">
        <v>10</v>
      </c>
      <c r="K104" s="25">
        <v>20</v>
      </c>
      <c r="L104" s="25">
        <v>25</v>
      </c>
      <c r="M104" s="25">
        <v>335</v>
      </c>
      <c r="N104" s="25">
        <v>225</v>
      </c>
      <c r="O104" s="25">
        <v>25</v>
      </c>
      <c r="P104" s="25">
        <v>45</v>
      </c>
      <c r="Q104" s="25">
        <v>385</v>
      </c>
      <c r="R104" s="25">
        <v>420</v>
      </c>
      <c r="S104" s="25">
        <v>35</v>
      </c>
      <c r="T104" s="25">
        <v>55</v>
      </c>
      <c r="U104" s="25">
        <v>160</v>
      </c>
      <c r="V104" s="25">
        <v>420</v>
      </c>
      <c r="W104" s="25">
        <v>40</v>
      </c>
      <c r="X104" s="25">
        <v>10</v>
      </c>
      <c r="Y104" s="25">
        <v>205</v>
      </c>
      <c r="Z104" s="25">
        <v>60</v>
      </c>
      <c r="AA104" s="25">
        <v>45</v>
      </c>
      <c r="AB104" s="25">
        <v>85</v>
      </c>
      <c r="AC104" s="25">
        <v>550</v>
      </c>
      <c r="AD104" s="25">
        <v>560</v>
      </c>
      <c r="AE104" s="25">
        <v>45</v>
      </c>
      <c r="AF104" s="25">
        <v>50</v>
      </c>
      <c r="AG104" s="25">
        <v>725</v>
      </c>
      <c r="AH104" s="25">
        <v>825</v>
      </c>
      <c r="AI104" s="25" t="s">
        <v>88</v>
      </c>
      <c r="AJ104" s="25" t="s">
        <v>89</v>
      </c>
    </row>
    <row r="105" spans="1:36" x14ac:dyDescent="0.25">
      <c r="A105" s="26" t="s">
        <v>296</v>
      </c>
      <c r="B105" t="s">
        <v>297</v>
      </c>
      <c r="C105" s="25">
        <v>1.02</v>
      </c>
      <c r="D105" s="25">
        <v>0</v>
      </c>
      <c r="E105" s="25">
        <v>3.2</v>
      </c>
      <c r="F105" s="25">
        <v>1.04</v>
      </c>
      <c r="G105" s="25">
        <v>227.75</v>
      </c>
      <c r="H105" s="25">
        <v>70.69</v>
      </c>
      <c r="I105" s="25">
        <v>301.74</v>
      </c>
      <c r="J105" s="25">
        <v>110.41</v>
      </c>
      <c r="K105" s="25">
        <v>1043.56</v>
      </c>
      <c r="L105" s="25">
        <v>662.76</v>
      </c>
      <c r="M105" s="25">
        <v>4574.6099999999997</v>
      </c>
      <c r="N105" s="25">
        <v>2728.54</v>
      </c>
      <c r="O105" s="25">
        <v>659.59</v>
      </c>
      <c r="P105" s="25">
        <v>610.1</v>
      </c>
      <c r="Q105" s="25">
        <v>2501.3200000000002</v>
      </c>
      <c r="R105" s="25">
        <v>3227.86</v>
      </c>
      <c r="S105" s="25">
        <v>637.21</v>
      </c>
      <c r="T105" s="25">
        <v>1539.33</v>
      </c>
      <c r="U105" s="25">
        <v>1479.17</v>
      </c>
      <c r="V105" s="25">
        <v>3161.49</v>
      </c>
      <c r="W105" s="25">
        <v>1050.53</v>
      </c>
      <c r="X105" s="25">
        <v>267.58999999999997</v>
      </c>
      <c r="Y105" s="25">
        <v>1564.27</v>
      </c>
      <c r="Z105" s="25">
        <v>314.06</v>
      </c>
      <c r="AA105" s="25">
        <v>941.3</v>
      </c>
      <c r="AB105" s="25">
        <v>678.87</v>
      </c>
      <c r="AC105" s="25">
        <v>2414.4899999999998</v>
      </c>
      <c r="AD105" s="25">
        <v>3078.17</v>
      </c>
      <c r="AE105" s="25">
        <v>783.19</v>
      </c>
      <c r="AF105" s="25">
        <v>1624.35</v>
      </c>
      <c r="AG105" s="25">
        <v>7040.44</v>
      </c>
      <c r="AH105" s="25">
        <v>7527.86</v>
      </c>
      <c r="AI105" s="25" t="s">
        <v>88</v>
      </c>
      <c r="AJ105" s="25" t="s">
        <v>89</v>
      </c>
    </row>
    <row r="106" spans="1:36" x14ac:dyDescent="0.25">
      <c r="A106" s="26" t="s">
        <v>298</v>
      </c>
      <c r="B106" t="s">
        <v>299</v>
      </c>
      <c r="C106" s="25">
        <v>0</v>
      </c>
      <c r="D106" s="25">
        <v>0</v>
      </c>
      <c r="E106" s="25">
        <v>0</v>
      </c>
      <c r="F106" s="25">
        <v>0</v>
      </c>
      <c r="G106" s="25">
        <v>0</v>
      </c>
      <c r="H106" s="25">
        <v>0</v>
      </c>
      <c r="I106" s="25">
        <v>0</v>
      </c>
      <c r="J106" s="25">
        <v>9.89</v>
      </c>
      <c r="K106" s="25">
        <v>4.95</v>
      </c>
      <c r="L106" s="25">
        <v>0</v>
      </c>
      <c r="M106" s="25">
        <v>9.89</v>
      </c>
      <c r="N106" s="25">
        <v>9.89</v>
      </c>
      <c r="O106" s="25">
        <v>0</v>
      </c>
      <c r="P106" s="25">
        <v>0</v>
      </c>
      <c r="Q106" s="25">
        <v>24.73</v>
      </c>
      <c r="R106" s="25">
        <v>44.51</v>
      </c>
      <c r="S106" s="25">
        <v>0</v>
      </c>
      <c r="T106" s="25">
        <v>4.95</v>
      </c>
      <c r="U106" s="25">
        <v>9.89</v>
      </c>
      <c r="V106" s="25">
        <v>14.84</v>
      </c>
      <c r="W106" s="25">
        <v>0</v>
      </c>
      <c r="X106" s="25">
        <v>0</v>
      </c>
      <c r="Y106" s="25">
        <v>14.84</v>
      </c>
      <c r="Z106" s="25">
        <v>0</v>
      </c>
      <c r="AA106" s="25">
        <v>0</v>
      </c>
      <c r="AB106" s="25">
        <v>0</v>
      </c>
      <c r="AC106" s="25">
        <v>29.68</v>
      </c>
      <c r="AD106" s="25">
        <v>34.619999999999997</v>
      </c>
      <c r="AE106" s="25">
        <v>4.95</v>
      </c>
      <c r="AF106" s="25">
        <v>0</v>
      </c>
      <c r="AG106" s="25">
        <v>19.78</v>
      </c>
      <c r="AH106" s="25">
        <v>39.57</v>
      </c>
      <c r="AI106" s="25" t="s">
        <v>94</v>
      </c>
      <c r="AJ106" s="25" t="s">
        <v>89</v>
      </c>
    </row>
    <row r="107" spans="1:36" x14ac:dyDescent="0.25">
      <c r="A107" s="26" t="s">
        <v>300</v>
      </c>
      <c r="B107" t="s">
        <v>301</v>
      </c>
      <c r="C107" s="25">
        <v>0</v>
      </c>
      <c r="D107" s="25">
        <v>0</v>
      </c>
      <c r="E107" s="25">
        <v>3.59</v>
      </c>
      <c r="F107" s="25">
        <v>0</v>
      </c>
      <c r="G107" s="25">
        <v>26.46</v>
      </c>
      <c r="H107" s="25">
        <v>19.260000000000002</v>
      </c>
      <c r="I107" s="25">
        <v>293.63</v>
      </c>
      <c r="J107" s="25">
        <v>83.54</v>
      </c>
      <c r="K107" s="25">
        <v>85.11</v>
      </c>
      <c r="L107" s="25">
        <v>49.69</v>
      </c>
      <c r="M107" s="25">
        <v>1039.04</v>
      </c>
      <c r="N107" s="25">
        <v>759.69</v>
      </c>
      <c r="O107" s="25">
        <v>96.93</v>
      </c>
      <c r="P107" s="25">
        <v>91.67</v>
      </c>
      <c r="Q107" s="25">
        <v>796.92</v>
      </c>
      <c r="R107" s="25">
        <v>1181.52</v>
      </c>
      <c r="S107" s="25">
        <v>61.47</v>
      </c>
      <c r="T107" s="25">
        <v>186.33</v>
      </c>
      <c r="U107" s="25">
        <v>419.85</v>
      </c>
      <c r="V107" s="25">
        <v>1081.72</v>
      </c>
      <c r="W107" s="25">
        <v>161.13999999999999</v>
      </c>
      <c r="X107" s="25">
        <v>42.8</v>
      </c>
      <c r="Y107" s="25">
        <v>538.83000000000004</v>
      </c>
      <c r="Z107" s="25">
        <v>115.8</v>
      </c>
      <c r="AA107" s="25">
        <v>81.12</v>
      </c>
      <c r="AB107" s="25">
        <v>101.09</v>
      </c>
      <c r="AC107" s="25">
        <v>1075.03</v>
      </c>
      <c r="AD107" s="25">
        <v>1297.4100000000001</v>
      </c>
      <c r="AE107" s="25">
        <v>104.73</v>
      </c>
      <c r="AF107" s="25">
        <v>125.31</v>
      </c>
      <c r="AG107" s="25">
        <v>2186.34</v>
      </c>
      <c r="AH107" s="25">
        <v>2199.0100000000002</v>
      </c>
      <c r="AI107" s="25" t="s">
        <v>94</v>
      </c>
      <c r="AJ107" s="25" t="s">
        <v>89</v>
      </c>
    </row>
    <row r="108" spans="1:36" x14ac:dyDescent="0.25">
      <c r="A108" s="26" t="s">
        <v>302</v>
      </c>
      <c r="B108" t="s">
        <v>303</v>
      </c>
      <c r="C108" s="25">
        <v>0</v>
      </c>
      <c r="D108" s="25">
        <v>0</v>
      </c>
      <c r="E108" s="25">
        <v>20.16</v>
      </c>
      <c r="F108" s="25">
        <v>15.19</v>
      </c>
      <c r="G108" s="25">
        <v>5.0599999999999996</v>
      </c>
      <c r="H108" s="25">
        <v>0</v>
      </c>
      <c r="I108" s="25">
        <v>91.14</v>
      </c>
      <c r="J108" s="25">
        <v>20.25</v>
      </c>
      <c r="K108" s="25">
        <v>5.0599999999999996</v>
      </c>
      <c r="L108" s="25">
        <v>0</v>
      </c>
      <c r="M108" s="25">
        <v>136.53</v>
      </c>
      <c r="N108" s="25">
        <v>91.14</v>
      </c>
      <c r="O108" s="25">
        <v>10.130000000000001</v>
      </c>
      <c r="P108" s="25">
        <v>20.25</v>
      </c>
      <c r="Q108" s="25">
        <v>187.07</v>
      </c>
      <c r="R108" s="25">
        <v>217.36</v>
      </c>
      <c r="S108" s="25">
        <v>10.130000000000001</v>
      </c>
      <c r="T108" s="25">
        <v>25.23</v>
      </c>
      <c r="U108" s="25">
        <v>119.7</v>
      </c>
      <c r="V108" s="25">
        <v>353.98</v>
      </c>
      <c r="W108" s="25">
        <v>45.39</v>
      </c>
      <c r="X108" s="25">
        <v>20.25</v>
      </c>
      <c r="Y108" s="25">
        <v>197.38</v>
      </c>
      <c r="Z108" s="25">
        <v>25.13</v>
      </c>
      <c r="AA108" s="25">
        <v>30.38</v>
      </c>
      <c r="AB108" s="25">
        <v>10.130000000000001</v>
      </c>
      <c r="AC108" s="25">
        <v>357.99</v>
      </c>
      <c r="AD108" s="25">
        <v>377.89</v>
      </c>
      <c r="AE108" s="25">
        <v>0</v>
      </c>
      <c r="AF108" s="25">
        <v>25.32</v>
      </c>
      <c r="AG108" s="25">
        <v>449.92</v>
      </c>
      <c r="AH108" s="25">
        <v>475.14</v>
      </c>
      <c r="AI108" s="25" t="s">
        <v>88</v>
      </c>
      <c r="AJ108" s="25" t="s">
        <v>89</v>
      </c>
    </row>
    <row r="109" spans="1:36" x14ac:dyDescent="0.25">
      <c r="A109" s="26" t="s">
        <v>304</v>
      </c>
      <c r="B109" t="s">
        <v>305</v>
      </c>
      <c r="C109" s="25">
        <v>0</v>
      </c>
      <c r="D109" s="25">
        <v>0</v>
      </c>
      <c r="E109" s="25">
        <v>0</v>
      </c>
      <c r="F109" s="25">
        <v>5.1100000000000003</v>
      </c>
      <c r="G109" s="25">
        <v>0</v>
      </c>
      <c r="H109" s="25">
        <v>0</v>
      </c>
      <c r="I109" s="25">
        <v>10.33</v>
      </c>
      <c r="J109" s="25">
        <v>0</v>
      </c>
      <c r="K109" s="25">
        <v>5.32</v>
      </c>
      <c r="L109" s="25">
        <v>0</v>
      </c>
      <c r="M109" s="25">
        <v>30.39</v>
      </c>
      <c r="N109" s="25">
        <v>10.029999999999999</v>
      </c>
      <c r="O109" s="25">
        <v>0</v>
      </c>
      <c r="P109" s="25">
        <v>5.1100000000000003</v>
      </c>
      <c r="Q109" s="25">
        <v>46.13</v>
      </c>
      <c r="R109" s="25">
        <v>51.45</v>
      </c>
      <c r="S109" s="25">
        <v>0</v>
      </c>
      <c r="T109" s="25">
        <v>5.32</v>
      </c>
      <c r="U109" s="25">
        <v>15.34</v>
      </c>
      <c r="V109" s="25">
        <v>93.27</v>
      </c>
      <c r="W109" s="25">
        <v>16.059999999999999</v>
      </c>
      <c r="X109" s="25">
        <v>0</v>
      </c>
      <c r="Y109" s="25">
        <v>20.76</v>
      </c>
      <c r="Z109" s="25">
        <v>0</v>
      </c>
      <c r="AA109" s="25">
        <v>0</v>
      </c>
      <c r="AB109" s="25">
        <v>4.92</v>
      </c>
      <c r="AC109" s="25">
        <v>45.33</v>
      </c>
      <c r="AD109" s="25">
        <v>39.729999999999997</v>
      </c>
      <c r="AE109" s="25">
        <v>0</v>
      </c>
      <c r="AF109" s="25">
        <v>0</v>
      </c>
      <c r="AG109" s="25">
        <v>94.39</v>
      </c>
      <c r="AH109" s="25">
        <v>147.03</v>
      </c>
      <c r="AI109" s="25" t="s">
        <v>88</v>
      </c>
      <c r="AJ109" s="25" t="s">
        <v>89</v>
      </c>
    </row>
    <row r="110" spans="1:36" x14ac:dyDescent="0.25">
      <c r="A110" s="26" t="s">
        <v>306</v>
      </c>
      <c r="B110" t="s">
        <v>307</v>
      </c>
      <c r="C110" s="25">
        <v>0</v>
      </c>
      <c r="D110" s="25">
        <v>0</v>
      </c>
      <c r="E110" s="25">
        <v>0</v>
      </c>
      <c r="F110" s="25">
        <v>0</v>
      </c>
      <c r="G110" s="25">
        <v>0</v>
      </c>
      <c r="H110" s="25">
        <v>0</v>
      </c>
      <c r="I110" s="25">
        <v>5.07</v>
      </c>
      <c r="J110" s="25">
        <v>0</v>
      </c>
      <c r="K110" s="25">
        <v>0</v>
      </c>
      <c r="L110" s="25">
        <v>0</v>
      </c>
      <c r="M110" s="25">
        <v>5.07</v>
      </c>
      <c r="N110" s="25">
        <v>5.07</v>
      </c>
      <c r="O110" s="25">
        <v>5.07</v>
      </c>
      <c r="P110" s="25">
        <v>0</v>
      </c>
      <c r="Q110" s="25">
        <v>15.22</v>
      </c>
      <c r="R110" s="25">
        <v>25.36</v>
      </c>
      <c r="S110" s="25">
        <v>0</v>
      </c>
      <c r="T110" s="25">
        <v>5.07</v>
      </c>
      <c r="U110" s="25">
        <v>5.07</v>
      </c>
      <c r="V110" s="25">
        <v>15.22</v>
      </c>
      <c r="W110" s="25">
        <v>0</v>
      </c>
      <c r="X110" s="25">
        <v>0</v>
      </c>
      <c r="Y110" s="25">
        <v>0</v>
      </c>
      <c r="Z110" s="25">
        <v>5.07</v>
      </c>
      <c r="AA110" s="25">
        <v>0</v>
      </c>
      <c r="AB110" s="25">
        <v>0</v>
      </c>
      <c r="AC110" s="25">
        <v>20.29</v>
      </c>
      <c r="AD110" s="25">
        <v>20.29</v>
      </c>
      <c r="AE110" s="25">
        <v>0</v>
      </c>
      <c r="AF110" s="25">
        <v>0</v>
      </c>
      <c r="AG110" s="25">
        <v>35.5</v>
      </c>
      <c r="AH110" s="25">
        <v>40.58</v>
      </c>
      <c r="AI110" s="25" t="s">
        <v>88</v>
      </c>
      <c r="AJ110" s="25" t="s">
        <v>89</v>
      </c>
    </row>
    <row r="111" spans="1:36" x14ac:dyDescent="0.25">
      <c r="A111" s="26" t="s">
        <v>308</v>
      </c>
      <c r="B111" t="s">
        <v>309</v>
      </c>
      <c r="C111" s="25">
        <v>0</v>
      </c>
      <c r="D111" s="25">
        <v>0</v>
      </c>
      <c r="E111" s="25">
        <v>5</v>
      </c>
      <c r="F111" s="25">
        <v>5</v>
      </c>
      <c r="G111" s="25">
        <v>25</v>
      </c>
      <c r="H111" s="25">
        <v>0</v>
      </c>
      <c r="I111" s="25">
        <v>90</v>
      </c>
      <c r="J111" s="25">
        <v>70</v>
      </c>
      <c r="K111" s="25">
        <v>30</v>
      </c>
      <c r="L111" s="25">
        <v>25</v>
      </c>
      <c r="M111" s="25">
        <v>205</v>
      </c>
      <c r="N111" s="25">
        <v>130</v>
      </c>
      <c r="O111" s="25">
        <v>35</v>
      </c>
      <c r="P111" s="25">
        <v>5</v>
      </c>
      <c r="Q111" s="25">
        <v>195</v>
      </c>
      <c r="R111" s="25">
        <v>300</v>
      </c>
      <c r="S111" s="25">
        <v>0</v>
      </c>
      <c r="T111" s="25">
        <v>25</v>
      </c>
      <c r="U111" s="25">
        <v>175</v>
      </c>
      <c r="V111" s="25">
        <v>445</v>
      </c>
      <c r="W111" s="25">
        <v>25</v>
      </c>
      <c r="X111" s="25">
        <v>20</v>
      </c>
      <c r="Y111" s="25">
        <v>210</v>
      </c>
      <c r="Z111" s="25">
        <v>35</v>
      </c>
      <c r="AA111" s="25">
        <v>20</v>
      </c>
      <c r="AB111" s="25">
        <v>35</v>
      </c>
      <c r="AC111" s="25">
        <v>585</v>
      </c>
      <c r="AD111" s="25">
        <v>795</v>
      </c>
      <c r="AE111" s="25">
        <v>30</v>
      </c>
      <c r="AF111" s="25">
        <v>25</v>
      </c>
      <c r="AG111" s="25">
        <v>550</v>
      </c>
      <c r="AH111" s="25">
        <v>535</v>
      </c>
      <c r="AI111" s="25" t="s">
        <v>94</v>
      </c>
      <c r="AJ111" s="25" t="s">
        <v>89</v>
      </c>
    </row>
    <row r="112" spans="1:36" x14ac:dyDescent="0.25">
      <c r="A112" s="26" t="s">
        <v>310</v>
      </c>
      <c r="B112" t="s">
        <v>311</v>
      </c>
      <c r="C112" s="25">
        <v>0</v>
      </c>
      <c r="D112" s="25">
        <v>0</v>
      </c>
      <c r="E112" s="25">
        <v>4.84</v>
      </c>
      <c r="F112" s="25">
        <v>4.84</v>
      </c>
      <c r="G112" s="25">
        <v>0</v>
      </c>
      <c r="H112" s="25">
        <v>0</v>
      </c>
      <c r="I112" s="25">
        <v>45.09</v>
      </c>
      <c r="J112" s="25">
        <v>19.61</v>
      </c>
      <c r="K112" s="25">
        <v>0</v>
      </c>
      <c r="L112" s="25">
        <v>9.93</v>
      </c>
      <c r="M112" s="25">
        <v>114.46</v>
      </c>
      <c r="N112" s="25">
        <v>50.15</v>
      </c>
      <c r="O112" s="25">
        <v>0</v>
      </c>
      <c r="P112" s="25">
        <v>0</v>
      </c>
      <c r="Q112" s="25">
        <v>73.739999999999995</v>
      </c>
      <c r="R112" s="25">
        <v>75.099999999999994</v>
      </c>
      <c r="S112" s="25">
        <v>0</v>
      </c>
      <c r="T112" s="25">
        <v>15.27</v>
      </c>
      <c r="U112" s="25">
        <v>29.54</v>
      </c>
      <c r="V112" s="25">
        <v>118.12</v>
      </c>
      <c r="W112" s="25">
        <v>0</v>
      </c>
      <c r="X112" s="25">
        <v>0</v>
      </c>
      <c r="Y112" s="25">
        <v>48.57</v>
      </c>
      <c r="Z112" s="25">
        <v>9.81</v>
      </c>
      <c r="AA112" s="25">
        <v>14.54</v>
      </c>
      <c r="AB112" s="25">
        <v>20.12</v>
      </c>
      <c r="AC112" s="25">
        <v>112.21</v>
      </c>
      <c r="AD112" s="25">
        <v>116.58</v>
      </c>
      <c r="AE112" s="25">
        <v>9.57</v>
      </c>
      <c r="AF112" s="25">
        <v>5.09</v>
      </c>
      <c r="AG112" s="25">
        <v>155.26</v>
      </c>
      <c r="AH112" s="25">
        <v>209.43</v>
      </c>
      <c r="AI112" s="25" t="s">
        <v>94</v>
      </c>
      <c r="AJ112" s="25" t="s">
        <v>89</v>
      </c>
    </row>
    <row r="113" spans="1:36" x14ac:dyDescent="0.25">
      <c r="A113" s="26" t="s">
        <v>312</v>
      </c>
      <c r="B113" t="s">
        <v>313</v>
      </c>
      <c r="C113" s="25">
        <v>0</v>
      </c>
      <c r="D113" s="25">
        <v>0</v>
      </c>
      <c r="E113" s="25">
        <v>5</v>
      </c>
      <c r="F113" s="25">
        <v>0</v>
      </c>
      <c r="G113" s="25">
        <v>15</v>
      </c>
      <c r="H113" s="25">
        <v>0</v>
      </c>
      <c r="I113" s="25">
        <v>40</v>
      </c>
      <c r="J113" s="25">
        <v>5</v>
      </c>
      <c r="K113" s="25">
        <v>15</v>
      </c>
      <c r="L113" s="25">
        <v>15</v>
      </c>
      <c r="M113" s="25">
        <v>205</v>
      </c>
      <c r="N113" s="25">
        <v>140</v>
      </c>
      <c r="O113" s="25">
        <v>10</v>
      </c>
      <c r="P113" s="25">
        <v>0</v>
      </c>
      <c r="Q113" s="25">
        <v>75</v>
      </c>
      <c r="R113" s="25">
        <v>130</v>
      </c>
      <c r="S113" s="25">
        <v>5</v>
      </c>
      <c r="T113" s="25">
        <v>35</v>
      </c>
      <c r="U113" s="25">
        <v>35</v>
      </c>
      <c r="V113" s="25">
        <v>45</v>
      </c>
      <c r="W113" s="25">
        <v>25</v>
      </c>
      <c r="X113" s="25">
        <v>0</v>
      </c>
      <c r="Y113" s="25">
        <v>15</v>
      </c>
      <c r="Z113" s="25">
        <v>10</v>
      </c>
      <c r="AA113" s="25">
        <v>20</v>
      </c>
      <c r="AB113" s="25">
        <v>15</v>
      </c>
      <c r="AC113" s="25">
        <v>195</v>
      </c>
      <c r="AD113" s="25">
        <v>230</v>
      </c>
      <c r="AE113" s="25">
        <v>5</v>
      </c>
      <c r="AF113" s="25">
        <v>35</v>
      </c>
      <c r="AG113" s="25">
        <v>270</v>
      </c>
      <c r="AH113" s="25">
        <v>345</v>
      </c>
      <c r="AI113" s="25" t="s">
        <v>94</v>
      </c>
      <c r="AJ113" s="25" t="s">
        <v>89</v>
      </c>
    </row>
    <row r="114" spans="1:36" x14ac:dyDescent="0.25">
      <c r="A114" s="26" t="s">
        <v>314</v>
      </c>
      <c r="B114" t="s">
        <v>315</v>
      </c>
      <c r="C114" s="25">
        <v>0</v>
      </c>
      <c r="D114" s="25">
        <v>0</v>
      </c>
      <c r="E114" s="25">
        <v>10.23</v>
      </c>
      <c r="F114" s="25">
        <v>10.35</v>
      </c>
      <c r="G114" s="25">
        <v>5.1100000000000003</v>
      </c>
      <c r="H114" s="25">
        <v>5.18</v>
      </c>
      <c r="I114" s="25">
        <v>25.76</v>
      </c>
      <c r="J114" s="25">
        <v>5.18</v>
      </c>
      <c r="K114" s="25">
        <v>0</v>
      </c>
      <c r="L114" s="25">
        <v>0</v>
      </c>
      <c r="M114" s="25">
        <v>15.22</v>
      </c>
      <c r="N114" s="25">
        <v>30.75</v>
      </c>
      <c r="O114" s="25">
        <v>4.87</v>
      </c>
      <c r="P114" s="25">
        <v>0</v>
      </c>
      <c r="Q114" s="25">
        <v>50.89</v>
      </c>
      <c r="R114" s="25">
        <v>81.459999999999994</v>
      </c>
      <c r="S114" s="25">
        <v>0</v>
      </c>
      <c r="T114" s="25">
        <v>5.18</v>
      </c>
      <c r="U114" s="25">
        <v>30.62</v>
      </c>
      <c r="V114" s="25">
        <v>50.95</v>
      </c>
      <c r="W114" s="25">
        <v>10.35</v>
      </c>
      <c r="X114" s="25">
        <v>0</v>
      </c>
      <c r="Y114" s="25">
        <v>61.12</v>
      </c>
      <c r="Z114" s="25">
        <v>10.17</v>
      </c>
      <c r="AA114" s="25">
        <v>0</v>
      </c>
      <c r="AB114" s="25">
        <v>0</v>
      </c>
      <c r="AC114" s="25">
        <v>62.19</v>
      </c>
      <c r="AD114" s="25">
        <v>82.7</v>
      </c>
      <c r="AE114" s="25">
        <v>0</v>
      </c>
      <c r="AF114" s="25">
        <v>0</v>
      </c>
      <c r="AG114" s="25">
        <v>105.96</v>
      </c>
      <c r="AH114" s="25">
        <v>80.209999999999994</v>
      </c>
      <c r="AI114" s="25" t="s">
        <v>94</v>
      </c>
      <c r="AJ114" s="25" t="s">
        <v>89</v>
      </c>
    </row>
    <row r="115" spans="1:36" x14ac:dyDescent="0.25">
      <c r="A115" s="26" t="s">
        <v>316</v>
      </c>
      <c r="B115" t="s">
        <v>317</v>
      </c>
      <c r="C115" s="25">
        <v>0</v>
      </c>
      <c r="D115" s="25">
        <v>0</v>
      </c>
      <c r="E115" s="25">
        <v>5</v>
      </c>
      <c r="F115" s="25">
        <v>0</v>
      </c>
      <c r="G115" s="25">
        <v>0</v>
      </c>
      <c r="H115" s="25">
        <v>0</v>
      </c>
      <c r="I115" s="25">
        <v>0</v>
      </c>
      <c r="J115" s="25">
        <v>0</v>
      </c>
      <c r="K115" s="25">
        <v>0</v>
      </c>
      <c r="L115" s="25">
        <v>0</v>
      </c>
      <c r="M115" s="25">
        <v>0</v>
      </c>
      <c r="N115" s="25">
        <v>5</v>
      </c>
      <c r="O115" s="25">
        <v>5</v>
      </c>
      <c r="P115" s="25">
        <v>0</v>
      </c>
      <c r="Q115" s="25">
        <v>20</v>
      </c>
      <c r="R115" s="25">
        <v>30</v>
      </c>
      <c r="S115" s="25">
        <v>0</v>
      </c>
      <c r="T115" s="25">
        <v>5</v>
      </c>
      <c r="U115" s="25">
        <v>15</v>
      </c>
      <c r="V115" s="25">
        <v>35</v>
      </c>
      <c r="W115" s="25">
        <v>5</v>
      </c>
      <c r="X115" s="25">
        <v>0</v>
      </c>
      <c r="Y115" s="25">
        <v>60</v>
      </c>
      <c r="Z115" s="25">
        <v>5</v>
      </c>
      <c r="AA115" s="25">
        <v>0</v>
      </c>
      <c r="AB115" s="25">
        <v>10</v>
      </c>
      <c r="AC115" s="25">
        <v>40</v>
      </c>
      <c r="AD115" s="25">
        <v>30</v>
      </c>
      <c r="AE115" s="25">
        <v>0</v>
      </c>
      <c r="AF115" s="25">
        <v>0</v>
      </c>
      <c r="AG115" s="25">
        <v>65</v>
      </c>
      <c r="AH115" s="25">
        <v>65</v>
      </c>
      <c r="AI115" s="25" t="s">
        <v>88</v>
      </c>
      <c r="AJ115" s="25" t="s">
        <v>89</v>
      </c>
    </row>
    <row r="116" spans="1:36" x14ac:dyDescent="0.25">
      <c r="A116" s="26" t="s">
        <v>318</v>
      </c>
      <c r="B116" t="s">
        <v>319</v>
      </c>
      <c r="C116" s="25">
        <v>2.5299999999999998</v>
      </c>
      <c r="D116" s="25">
        <v>0</v>
      </c>
      <c r="E116" s="25">
        <v>5.86</v>
      </c>
      <c r="F116" s="25">
        <v>0</v>
      </c>
      <c r="G116" s="25">
        <v>115.8</v>
      </c>
      <c r="H116" s="25">
        <v>37.409999999999997</v>
      </c>
      <c r="I116" s="25">
        <v>263.77</v>
      </c>
      <c r="J116" s="25">
        <v>63.72</v>
      </c>
      <c r="K116" s="25">
        <v>203.77</v>
      </c>
      <c r="L116" s="25">
        <v>171.85</v>
      </c>
      <c r="M116" s="25">
        <v>1449.6</v>
      </c>
      <c r="N116" s="25">
        <v>1015.18</v>
      </c>
      <c r="O116" s="25">
        <v>207.37</v>
      </c>
      <c r="P116" s="25">
        <v>205.43</v>
      </c>
      <c r="Q116" s="25">
        <v>1090.0899999999999</v>
      </c>
      <c r="R116" s="25">
        <v>1460.59</v>
      </c>
      <c r="S116" s="25">
        <v>210.62</v>
      </c>
      <c r="T116" s="25">
        <v>791.14</v>
      </c>
      <c r="U116" s="25">
        <v>610.35</v>
      </c>
      <c r="V116" s="25">
        <v>1568.86</v>
      </c>
      <c r="W116" s="25">
        <v>611.76</v>
      </c>
      <c r="X116" s="25">
        <v>150.1</v>
      </c>
      <c r="Y116" s="25">
        <v>821.34</v>
      </c>
      <c r="Z116" s="25">
        <v>150.09</v>
      </c>
      <c r="AA116" s="25">
        <v>336.85</v>
      </c>
      <c r="AB116" s="25">
        <v>287.01</v>
      </c>
      <c r="AC116" s="25">
        <v>1697.53</v>
      </c>
      <c r="AD116" s="25">
        <v>2259.7399999999998</v>
      </c>
      <c r="AE116" s="25">
        <v>425.62</v>
      </c>
      <c r="AF116" s="25">
        <v>631.03</v>
      </c>
      <c r="AG116" s="25">
        <v>3349.76</v>
      </c>
      <c r="AH116" s="25">
        <v>3579.25</v>
      </c>
      <c r="AI116" s="25" t="s">
        <v>88</v>
      </c>
      <c r="AJ116" s="25" t="s">
        <v>89</v>
      </c>
    </row>
    <row r="117" spans="1:36" x14ac:dyDescent="0.25">
      <c r="A117" s="26" t="s">
        <v>320</v>
      </c>
      <c r="B117" t="s">
        <v>321</v>
      </c>
      <c r="C117" s="25">
        <v>0</v>
      </c>
      <c r="D117" s="25">
        <v>0</v>
      </c>
      <c r="E117" s="25">
        <v>4.9800000000000004</v>
      </c>
      <c r="F117" s="25">
        <v>0</v>
      </c>
      <c r="G117" s="25">
        <v>39.83</v>
      </c>
      <c r="H117" s="25">
        <v>9.9600000000000009</v>
      </c>
      <c r="I117" s="25">
        <v>154.36000000000001</v>
      </c>
      <c r="J117" s="25">
        <v>59.75</v>
      </c>
      <c r="K117" s="25">
        <v>44.81</v>
      </c>
      <c r="L117" s="25">
        <v>54.77</v>
      </c>
      <c r="M117" s="25">
        <v>463.07</v>
      </c>
      <c r="N117" s="25">
        <v>283.82</v>
      </c>
      <c r="O117" s="25">
        <v>64.73</v>
      </c>
      <c r="P117" s="25">
        <v>19.920000000000002</v>
      </c>
      <c r="Q117" s="25">
        <v>507.88</v>
      </c>
      <c r="R117" s="25">
        <v>632.36</v>
      </c>
      <c r="S117" s="25">
        <v>14.94</v>
      </c>
      <c r="T117" s="25">
        <v>124.48</v>
      </c>
      <c r="U117" s="25">
        <v>224.06</v>
      </c>
      <c r="V117" s="25">
        <v>557.66999999999996</v>
      </c>
      <c r="W117" s="25">
        <v>114.52</v>
      </c>
      <c r="X117" s="25">
        <v>34.85</v>
      </c>
      <c r="Y117" s="25">
        <v>403.32</v>
      </c>
      <c r="Z117" s="25">
        <v>84.65</v>
      </c>
      <c r="AA117" s="25">
        <v>99.62</v>
      </c>
      <c r="AB117" s="25">
        <v>129.5</v>
      </c>
      <c r="AC117" s="25">
        <v>478.13</v>
      </c>
      <c r="AD117" s="25">
        <v>652.76</v>
      </c>
      <c r="AE117" s="25">
        <v>44.81</v>
      </c>
      <c r="AF117" s="25">
        <v>84.65</v>
      </c>
      <c r="AG117" s="25">
        <v>1085.47</v>
      </c>
      <c r="AH117" s="25">
        <v>1120.32</v>
      </c>
      <c r="AI117" s="25" t="s">
        <v>88</v>
      </c>
      <c r="AJ117" s="25" t="s">
        <v>89</v>
      </c>
    </row>
    <row r="118" spans="1:36" x14ac:dyDescent="0.25">
      <c r="A118" s="26" t="s">
        <v>322</v>
      </c>
      <c r="B118" t="s">
        <v>323</v>
      </c>
      <c r="C118" s="25">
        <v>0</v>
      </c>
      <c r="D118" s="25">
        <v>0</v>
      </c>
      <c r="E118" s="25">
        <v>1.07</v>
      </c>
      <c r="F118" s="25">
        <v>0</v>
      </c>
      <c r="G118" s="25">
        <v>113.26</v>
      </c>
      <c r="H118" s="25">
        <v>30.32</v>
      </c>
      <c r="I118" s="25">
        <v>232.23</v>
      </c>
      <c r="J118" s="25">
        <v>88.25</v>
      </c>
      <c r="K118" s="25">
        <v>112.25</v>
      </c>
      <c r="L118" s="25">
        <v>87.9</v>
      </c>
      <c r="M118" s="25">
        <v>648.88</v>
      </c>
      <c r="N118" s="25">
        <v>485.76</v>
      </c>
      <c r="O118" s="25">
        <v>142.51</v>
      </c>
      <c r="P118" s="25">
        <v>104.44</v>
      </c>
      <c r="Q118" s="25">
        <v>755.73</v>
      </c>
      <c r="R118" s="25">
        <v>848.56</v>
      </c>
      <c r="S118" s="25">
        <v>103.8</v>
      </c>
      <c r="T118" s="25">
        <v>381.64</v>
      </c>
      <c r="U118" s="25">
        <v>368.69</v>
      </c>
      <c r="V118" s="25">
        <v>1042.49</v>
      </c>
      <c r="W118" s="25">
        <v>427.24</v>
      </c>
      <c r="X118" s="25">
        <v>131.83000000000001</v>
      </c>
      <c r="Y118" s="25">
        <v>643.75</v>
      </c>
      <c r="Z118" s="25">
        <v>115.09</v>
      </c>
      <c r="AA118" s="25">
        <v>251.14</v>
      </c>
      <c r="AB118" s="25">
        <v>188.53</v>
      </c>
      <c r="AC118" s="25">
        <v>853.02</v>
      </c>
      <c r="AD118" s="25">
        <v>1143.04</v>
      </c>
      <c r="AE118" s="25">
        <v>111.83</v>
      </c>
      <c r="AF118" s="25">
        <v>323.69</v>
      </c>
      <c r="AG118" s="25">
        <v>1962.33</v>
      </c>
      <c r="AH118" s="25">
        <v>2030.64</v>
      </c>
      <c r="AI118" s="25" t="s">
        <v>101</v>
      </c>
      <c r="AJ118" s="25" t="s">
        <v>89</v>
      </c>
    </row>
    <row r="119" spans="1:36" x14ac:dyDescent="0.25">
      <c r="A119" s="26" t="s">
        <v>324</v>
      </c>
      <c r="B119" t="s">
        <v>325</v>
      </c>
      <c r="C119" s="25">
        <v>0</v>
      </c>
      <c r="D119" s="25">
        <v>0</v>
      </c>
      <c r="E119" s="25">
        <v>9.8800000000000008</v>
      </c>
      <c r="F119" s="25">
        <v>4.9400000000000004</v>
      </c>
      <c r="G119" s="25">
        <v>9.84</v>
      </c>
      <c r="H119" s="25">
        <v>0</v>
      </c>
      <c r="I119" s="25">
        <v>94.38</v>
      </c>
      <c r="J119" s="25">
        <v>19.88</v>
      </c>
      <c r="K119" s="25">
        <v>9.8000000000000007</v>
      </c>
      <c r="L119" s="25">
        <v>0</v>
      </c>
      <c r="M119" s="25">
        <v>204.08</v>
      </c>
      <c r="N119" s="25">
        <v>139.04</v>
      </c>
      <c r="O119" s="25">
        <v>24.74</v>
      </c>
      <c r="P119" s="25">
        <v>10.039999999999999</v>
      </c>
      <c r="Q119" s="25">
        <v>278.5</v>
      </c>
      <c r="R119" s="25">
        <v>398.44</v>
      </c>
      <c r="S119" s="25">
        <v>4.9400000000000004</v>
      </c>
      <c r="T119" s="25">
        <v>24.9</v>
      </c>
      <c r="U119" s="25">
        <v>109.45</v>
      </c>
      <c r="V119" s="25">
        <v>382.73</v>
      </c>
      <c r="W119" s="25">
        <v>34.78</v>
      </c>
      <c r="X119" s="25">
        <v>0</v>
      </c>
      <c r="Y119" s="25">
        <v>238.7</v>
      </c>
      <c r="Z119" s="25">
        <v>19.84</v>
      </c>
      <c r="AA119" s="25">
        <v>20.170000000000002</v>
      </c>
      <c r="AB119" s="25">
        <v>15.07</v>
      </c>
      <c r="AC119" s="25">
        <v>537.30999999999995</v>
      </c>
      <c r="AD119" s="25">
        <v>607.61</v>
      </c>
      <c r="AE119" s="25">
        <v>9.9600000000000009</v>
      </c>
      <c r="AF119" s="25">
        <v>24.62</v>
      </c>
      <c r="AG119" s="25">
        <v>528.32000000000005</v>
      </c>
      <c r="AH119" s="25">
        <v>588.20000000000005</v>
      </c>
      <c r="AI119" s="25" t="s">
        <v>88</v>
      </c>
      <c r="AJ119" s="25" t="s">
        <v>89</v>
      </c>
    </row>
    <row r="120" spans="1:36" x14ac:dyDescent="0.25">
      <c r="A120" s="26" t="s">
        <v>326</v>
      </c>
      <c r="B120" t="s">
        <v>327</v>
      </c>
      <c r="C120" s="25">
        <v>0</v>
      </c>
      <c r="D120" s="25">
        <v>0</v>
      </c>
      <c r="E120" s="25">
        <v>2.59</v>
      </c>
      <c r="F120" s="25">
        <v>0</v>
      </c>
      <c r="G120" s="25">
        <v>114.26</v>
      </c>
      <c r="H120" s="25">
        <v>42.72</v>
      </c>
      <c r="I120" s="25">
        <v>294.49</v>
      </c>
      <c r="J120" s="25">
        <v>68.39</v>
      </c>
      <c r="K120" s="25">
        <v>198.15</v>
      </c>
      <c r="L120" s="25">
        <v>108.17</v>
      </c>
      <c r="M120" s="25">
        <v>1056.6500000000001</v>
      </c>
      <c r="N120" s="25">
        <v>757.32</v>
      </c>
      <c r="O120" s="25">
        <v>196.06</v>
      </c>
      <c r="P120" s="25">
        <v>193.92</v>
      </c>
      <c r="Q120" s="25">
        <v>1142.68</v>
      </c>
      <c r="R120" s="25">
        <v>1530.25</v>
      </c>
      <c r="S120" s="25">
        <v>124.18</v>
      </c>
      <c r="T120" s="25">
        <v>515.32000000000005</v>
      </c>
      <c r="U120" s="25">
        <v>624.34</v>
      </c>
      <c r="V120" s="25">
        <v>1523.99</v>
      </c>
      <c r="W120" s="25">
        <v>504</v>
      </c>
      <c r="X120" s="25">
        <v>143.69999999999999</v>
      </c>
      <c r="Y120" s="25">
        <v>953.36</v>
      </c>
      <c r="Z120" s="25">
        <v>136.87</v>
      </c>
      <c r="AA120" s="25">
        <v>273.17</v>
      </c>
      <c r="AB120" s="25">
        <v>295.92</v>
      </c>
      <c r="AC120" s="25">
        <v>1353.51</v>
      </c>
      <c r="AD120" s="25">
        <v>1801.52</v>
      </c>
      <c r="AE120" s="25">
        <v>167.85</v>
      </c>
      <c r="AF120" s="25">
        <v>513.49</v>
      </c>
      <c r="AG120" s="25">
        <v>3149.25</v>
      </c>
      <c r="AH120" s="25">
        <v>3121.89</v>
      </c>
      <c r="AI120" s="25" t="s">
        <v>88</v>
      </c>
      <c r="AJ120" s="25" t="s">
        <v>89</v>
      </c>
    </row>
    <row r="121" spans="1:36" x14ac:dyDescent="0.25">
      <c r="A121" s="26" t="s">
        <v>328</v>
      </c>
      <c r="B121" t="s">
        <v>329</v>
      </c>
      <c r="C121" s="25">
        <v>0</v>
      </c>
      <c r="D121" s="25">
        <v>0</v>
      </c>
      <c r="E121" s="25">
        <v>0</v>
      </c>
      <c r="F121" s="25">
        <v>0</v>
      </c>
      <c r="G121" s="25">
        <v>4.5</v>
      </c>
      <c r="H121" s="25">
        <v>4.5</v>
      </c>
      <c r="I121" s="25">
        <v>39.75</v>
      </c>
      <c r="J121" s="25">
        <v>5.17</v>
      </c>
      <c r="K121" s="25">
        <v>0</v>
      </c>
      <c r="L121" s="25">
        <v>4.82</v>
      </c>
      <c r="M121" s="25">
        <v>32.85</v>
      </c>
      <c r="N121" s="25">
        <v>38.020000000000003</v>
      </c>
      <c r="O121" s="25">
        <v>0</v>
      </c>
      <c r="P121" s="25">
        <v>5.17</v>
      </c>
      <c r="Q121" s="25">
        <v>23.48</v>
      </c>
      <c r="R121" s="25">
        <v>23.81</v>
      </c>
      <c r="S121" s="25">
        <v>0</v>
      </c>
      <c r="T121" s="25">
        <v>4.5</v>
      </c>
      <c r="U121" s="25">
        <v>15.2</v>
      </c>
      <c r="V121" s="25">
        <v>32.799999999999997</v>
      </c>
      <c r="W121" s="25">
        <v>0</v>
      </c>
      <c r="X121" s="25">
        <v>0</v>
      </c>
      <c r="Y121" s="25">
        <v>55.66</v>
      </c>
      <c r="Z121" s="25">
        <v>5.17</v>
      </c>
      <c r="AA121" s="25">
        <v>0</v>
      </c>
      <c r="AB121" s="25">
        <v>0</v>
      </c>
      <c r="AC121" s="25">
        <v>46.61</v>
      </c>
      <c r="AD121" s="25">
        <v>61.48</v>
      </c>
      <c r="AE121" s="25">
        <v>0</v>
      </c>
      <c r="AF121" s="25">
        <v>4.5</v>
      </c>
      <c r="AG121" s="25">
        <v>58.81</v>
      </c>
      <c r="AH121" s="25">
        <v>50.29</v>
      </c>
      <c r="AI121" s="25" t="s">
        <v>88</v>
      </c>
      <c r="AJ121" s="25" t="s">
        <v>89</v>
      </c>
    </row>
    <row r="122" spans="1:36" x14ac:dyDescent="0.25">
      <c r="A122" s="26" t="s">
        <v>330</v>
      </c>
      <c r="B122" t="s">
        <v>331</v>
      </c>
      <c r="C122" s="25">
        <v>0</v>
      </c>
      <c r="D122" s="25">
        <v>0</v>
      </c>
      <c r="E122" s="25">
        <v>0</v>
      </c>
      <c r="F122" s="25">
        <v>0</v>
      </c>
      <c r="G122" s="25">
        <v>0</v>
      </c>
      <c r="H122" s="25">
        <v>0</v>
      </c>
      <c r="I122" s="25">
        <v>28.03</v>
      </c>
      <c r="J122" s="25">
        <v>9.34</v>
      </c>
      <c r="K122" s="25">
        <v>0</v>
      </c>
      <c r="L122" s="25">
        <v>0</v>
      </c>
      <c r="M122" s="25">
        <v>14.02</v>
      </c>
      <c r="N122" s="25">
        <v>42.05</v>
      </c>
      <c r="O122" s="25">
        <v>4.67</v>
      </c>
      <c r="P122" s="25">
        <v>4.67</v>
      </c>
      <c r="Q122" s="25">
        <v>37.380000000000003</v>
      </c>
      <c r="R122" s="25">
        <v>46.72</v>
      </c>
      <c r="S122" s="25">
        <v>0</v>
      </c>
      <c r="T122" s="25">
        <v>0</v>
      </c>
      <c r="U122" s="25">
        <v>14.02</v>
      </c>
      <c r="V122" s="25">
        <v>32.700000000000003</v>
      </c>
      <c r="W122" s="25">
        <v>4.67</v>
      </c>
      <c r="X122" s="25">
        <v>0</v>
      </c>
      <c r="Y122" s="25">
        <v>18.690000000000001</v>
      </c>
      <c r="Z122" s="25">
        <v>9.34</v>
      </c>
      <c r="AA122" s="25">
        <v>0</v>
      </c>
      <c r="AB122" s="25">
        <v>9.34</v>
      </c>
      <c r="AC122" s="25">
        <v>37.380000000000003</v>
      </c>
      <c r="AD122" s="25">
        <v>37.380000000000003</v>
      </c>
      <c r="AE122" s="25">
        <v>0</v>
      </c>
      <c r="AF122" s="25">
        <v>0</v>
      </c>
      <c r="AG122" s="25">
        <v>65.41</v>
      </c>
      <c r="AH122" s="25">
        <v>74.75</v>
      </c>
      <c r="AI122" s="25" t="s">
        <v>94</v>
      </c>
      <c r="AJ122" s="25" t="s">
        <v>89</v>
      </c>
    </row>
    <row r="123" spans="1:36" x14ac:dyDescent="0.25">
      <c r="A123" s="26" t="s">
        <v>332</v>
      </c>
      <c r="B123" t="s">
        <v>333</v>
      </c>
      <c r="C123" s="25">
        <v>0</v>
      </c>
      <c r="D123" s="25">
        <v>0</v>
      </c>
      <c r="E123" s="25">
        <v>0</v>
      </c>
      <c r="F123" s="25">
        <v>0</v>
      </c>
      <c r="G123" s="25">
        <v>19.97</v>
      </c>
      <c r="H123" s="25">
        <v>0</v>
      </c>
      <c r="I123" s="25">
        <v>65.12</v>
      </c>
      <c r="J123" s="25">
        <v>10.01</v>
      </c>
      <c r="K123" s="25">
        <v>10.050000000000001</v>
      </c>
      <c r="L123" s="25">
        <v>20.12</v>
      </c>
      <c r="M123" s="25">
        <v>250.4</v>
      </c>
      <c r="N123" s="25">
        <v>255.4</v>
      </c>
      <c r="O123" s="25">
        <v>25.03</v>
      </c>
      <c r="P123" s="25">
        <v>4.97</v>
      </c>
      <c r="Q123" s="25">
        <v>330.81</v>
      </c>
      <c r="R123" s="25">
        <v>285.85000000000002</v>
      </c>
      <c r="S123" s="25">
        <v>9.9700000000000006</v>
      </c>
      <c r="T123" s="25">
        <v>45.08</v>
      </c>
      <c r="U123" s="25">
        <v>100.21</v>
      </c>
      <c r="V123" s="25">
        <v>370.94</v>
      </c>
      <c r="W123" s="25">
        <v>54.91</v>
      </c>
      <c r="X123" s="25">
        <v>35.01</v>
      </c>
      <c r="Y123" s="25">
        <v>160.19999999999999</v>
      </c>
      <c r="Z123" s="25">
        <v>20.059999999999999</v>
      </c>
      <c r="AA123" s="25">
        <v>45.17</v>
      </c>
      <c r="AB123" s="25">
        <v>50.38</v>
      </c>
      <c r="AC123" s="25">
        <v>337.39</v>
      </c>
      <c r="AD123" s="25">
        <v>342.63</v>
      </c>
      <c r="AE123" s="25">
        <v>10.029999999999999</v>
      </c>
      <c r="AF123" s="25">
        <v>59.88</v>
      </c>
      <c r="AG123" s="25">
        <v>553.64</v>
      </c>
      <c r="AH123" s="25">
        <v>648.78</v>
      </c>
      <c r="AI123" s="25" t="s">
        <v>88</v>
      </c>
      <c r="AJ123" s="25" t="s">
        <v>89</v>
      </c>
    </row>
    <row r="124" spans="1:36" x14ac:dyDescent="0.25">
      <c r="A124" s="26" t="s">
        <v>334</v>
      </c>
      <c r="B124" t="s">
        <v>335</v>
      </c>
      <c r="C124" s="25">
        <v>5.15</v>
      </c>
      <c r="D124" s="25">
        <v>0</v>
      </c>
      <c r="E124" s="25">
        <v>5</v>
      </c>
      <c r="F124" s="25">
        <v>0</v>
      </c>
      <c r="G124" s="25">
        <v>20.58</v>
      </c>
      <c r="H124" s="25">
        <v>5.15</v>
      </c>
      <c r="I124" s="25">
        <v>72.040000000000006</v>
      </c>
      <c r="J124" s="25">
        <v>36.020000000000003</v>
      </c>
      <c r="K124" s="25">
        <v>36.020000000000003</v>
      </c>
      <c r="L124" s="25">
        <v>25.73</v>
      </c>
      <c r="M124" s="25">
        <v>432.22</v>
      </c>
      <c r="N124" s="25">
        <v>246.98</v>
      </c>
      <c r="O124" s="25">
        <v>10.29</v>
      </c>
      <c r="P124" s="25">
        <v>41.16</v>
      </c>
      <c r="Q124" s="25">
        <v>416.78</v>
      </c>
      <c r="R124" s="25">
        <v>437.37</v>
      </c>
      <c r="S124" s="25">
        <v>0</v>
      </c>
      <c r="T124" s="25">
        <v>36.020000000000003</v>
      </c>
      <c r="U124" s="25">
        <v>108.06</v>
      </c>
      <c r="V124" s="25">
        <v>355.04</v>
      </c>
      <c r="W124" s="25">
        <v>25.73</v>
      </c>
      <c r="X124" s="25">
        <v>10.29</v>
      </c>
      <c r="Y124" s="25">
        <v>195.53</v>
      </c>
      <c r="Z124" s="25">
        <v>30.87</v>
      </c>
      <c r="AA124" s="25">
        <v>10.29</v>
      </c>
      <c r="AB124" s="25">
        <v>20.58</v>
      </c>
      <c r="AC124" s="25">
        <v>298.44</v>
      </c>
      <c r="AD124" s="25">
        <v>385.91</v>
      </c>
      <c r="AE124" s="25">
        <v>30.87</v>
      </c>
      <c r="AF124" s="25">
        <v>77.180000000000007</v>
      </c>
      <c r="AG124" s="25">
        <v>648.19000000000005</v>
      </c>
      <c r="AH124" s="25">
        <v>627.30999999999995</v>
      </c>
      <c r="AI124" s="25" t="s">
        <v>88</v>
      </c>
      <c r="AJ124" s="25" t="s">
        <v>89</v>
      </c>
    </row>
    <row r="125" spans="1:36" x14ac:dyDescent="0.25">
      <c r="A125" s="26" t="s">
        <v>336</v>
      </c>
      <c r="B125" t="s">
        <v>337</v>
      </c>
      <c r="C125" s="25">
        <v>0</v>
      </c>
      <c r="D125" s="25">
        <v>0</v>
      </c>
      <c r="E125" s="25">
        <v>5</v>
      </c>
      <c r="F125" s="25">
        <v>5</v>
      </c>
      <c r="G125" s="25">
        <v>10</v>
      </c>
      <c r="H125" s="25">
        <v>0</v>
      </c>
      <c r="I125" s="25">
        <v>74.989999999999995</v>
      </c>
      <c r="J125" s="25">
        <v>30</v>
      </c>
      <c r="K125" s="25">
        <v>20</v>
      </c>
      <c r="L125" s="25">
        <v>5</v>
      </c>
      <c r="M125" s="25">
        <v>269.97000000000003</v>
      </c>
      <c r="N125" s="25">
        <v>214.97</v>
      </c>
      <c r="O125" s="25">
        <v>0</v>
      </c>
      <c r="P125" s="25">
        <v>10</v>
      </c>
      <c r="Q125" s="25">
        <v>405.43</v>
      </c>
      <c r="R125" s="25">
        <v>340.91</v>
      </c>
      <c r="S125" s="25">
        <v>0</v>
      </c>
      <c r="T125" s="25">
        <v>44.99</v>
      </c>
      <c r="U125" s="25">
        <v>331.88</v>
      </c>
      <c r="V125" s="25">
        <v>385.91</v>
      </c>
      <c r="W125" s="25">
        <v>15</v>
      </c>
      <c r="X125" s="25">
        <v>0</v>
      </c>
      <c r="Y125" s="25">
        <v>175.22</v>
      </c>
      <c r="Z125" s="25">
        <v>70.23</v>
      </c>
      <c r="AA125" s="25">
        <v>40</v>
      </c>
      <c r="AB125" s="25">
        <v>20</v>
      </c>
      <c r="AC125" s="25">
        <v>334.96</v>
      </c>
      <c r="AD125" s="25">
        <v>369.95</v>
      </c>
      <c r="AE125" s="25">
        <v>15</v>
      </c>
      <c r="AF125" s="25">
        <v>35</v>
      </c>
      <c r="AG125" s="25">
        <v>740.15</v>
      </c>
      <c r="AH125" s="25">
        <v>840.14</v>
      </c>
      <c r="AI125" s="25" t="s">
        <v>88</v>
      </c>
      <c r="AJ125" s="25" t="s">
        <v>89</v>
      </c>
    </row>
    <row r="126" spans="1:36" x14ac:dyDescent="0.25">
      <c r="A126" s="26" t="s">
        <v>338</v>
      </c>
      <c r="B126" t="s">
        <v>339</v>
      </c>
      <c r="C126" s="25">
        <v>0</v>
      </c>
      <c r="D126" s="25">
        <v>0</v>
      </c>
      <c r="E126" s="25">
        <v>0</v>
      </c>
      <c r="F126" s="25">
        <v>0</v>
      </c>
      <c r="G126" s="25">
        <v>4.93</v>
      </c>
      <c r="H126" s="25">
        <v>0</v>
      </c>
      <c r="I126" s="25">
        <v>29.57</v>
      </c>
      <c r="J126" s="25">
        <v>14.79</v>
      </c>
      <c r="K126" s="25">
        <v>9.86</v>
      </c>
      <c r="L126" s="25">
        <v>0</v>
      </c>
      <c r="M126" s="25">
        <v>39.43</v>
      </c>
      <c r="N126" s="25">
        <v>9.86</v>
      </c>
      <c r="O126" s="25">
        <v>4.93</v>
      </c>
      <c r="P126" s="25">
        <v>0</v>
      </c>
      <c r="Q126" s="25">
        <v>54.22</v>
      </c>
      <c r="R126" s="25">
        <v>54.22</v>
      </c>
      <c r="S126" s="25">
        <v>9.86</v>
      </c>
      <c r="T126" s="25">
        <v>19.72</v>
      </c>
      <c r="U126" s="25">
        <v>14.79</v>
      </c>
      <c r="V126" s="25">
        <v>98.58</v>
      </c>
      <c r="W126" s="25">
        <v>0</v>
      </c>
      <c r="X126" s="25">
        <v>4.93</v>
      </c>
      <c r="Y126" s="25">
        <v>64.069999999999993</v>
      </c>
      <c r="Z126" s="25">
        <v>0</v>
      </c>
      <c r="AA126" s="25">
        <v>14.79</v>
      </c>
      <c r="AB126" s="25">
        <v>4.93</v>
      </c>
      <c r="AC126" s="25">
        <v>142.93</v>
      </c>
      <c r="AD126" s="25">
        <v>142.93</v>
      </c>
      <c r="AE126" s="25">
        <v>0</v>
      </c>
      <c r="AF126" s="25">
        <v>4.93</v>
      </c>
      <c r="AG126" s="25">
        <v>138.01</v>
      </c>
      <c r="AH126" s="25">
        <v>162.65</v>
      </c>
      <c r="AI126" s="25" t="s">
        <v>94</v>
      </c>
      <c r="AJ126" s="25" t="s">
        <v>89</v>
      </c>
    </row>
    <row r="127" spans="1:36" x14ac:dyDescent="0.25">
      <c r="A127" s="26" t="s">
        <v>340</v>
      </c>
      <c r="B127" t="s">
        <v>341</v>
      </c>
      <c r="C127" s="25">
        <v>0</v>
      </c>
      <c r="D127" s="25">
        <v>0</v>
      </c>
      <c r="E127" s="25">
        <v>0</v>
      </c>
      <c r="F127" s="25">
        <v>0</v>
      </c>
      <c r="G127" s="25">
        <v>5</v>
      </c>
      <c r="H127" s="25">
        <v>0</v>
      </c>
      <c r="I127" s="25">
        <v>55</v>
      </c>
      <c r="J127" s="25">
        <v>25</v>
      </c>
      <c r="K127" s="25">
        <v>10</v>
      </c>
      <c r="L127" s="25">
        <v>0</v>
      </c>
      <c r="M127" s="25">
        <v>85</v>
      </c>
      <c r="N127" s="25">
        <v>60</v>
      </c>
      <c r="O127" s="25">
        <v>40</v>
      </c>
      <c r="P127" s="25">
        <v>30</v>
      </c>
      <c r="Q127" s="25">
        <v>160</v>
      </c>
      <c r="R127" s="25">
        <v>115</v>
      </c>
      <c r="S127" s="25">
        <v>20</v>
      </c>
      <c r="T127" s="25">
        <v>55</v>
      </c>
      <c r="U127" s="25">
        <v>65</v>
      </c>
      <c r="V127" s="25">
        <v>135</v>
      </c>
      <c r="W127" s="25">
        <v>55</v>
      </c>
      <c r="X127" s="25">
        <v>20</v>
      </c>
      <c r="Y127" s="25">
        <v>105</v>
      </c>
      <c r="Z127" s="25">
        <v>45</v>
      </c>
      <c r="AA127" s="25">
        <v>15</v>
      </c>
      <c r="AB127" s="25">
        <v>10</v>
      </c>
      <c r="AC127" s="25">
        <v>80</v>
      </c>
      <c r="AD127" s="25">
        <v>110</v>
      </c>
      <c r="AE127" s="25">
        <v>25</v>
      </c>
      <c r="AF127" s="25">
        <v>35</v>
      </c>
      <c r="AG127" s="25">
        <v>295</v>
      </c>
      <c r="AH127" s="25">
        <v>395</v>
      </c>
      <c r="AI127" s="25" t="s">
        <v>94</v>
      </c>
      <c r="AJ127" s="25" t="s">
        <v>89</v>
      </c>
    </row>
    <row r="128" spans="1:36" x14ac:dyDescent="0.25">
      <c r="A128" s="26" t="s">
        <v>342</v>
      </c>
      <c r="B128" t="s">
        <v>343</v>
      </c>
      <c r="C128" s="25">
        <v>0</v>
      </c>
      <c r="D128" s="25">
        <v>0</v>
      </c>
      <c r="E128" s="25">
        <v>5.05</v>
      </c>
      <c r="F128" s="25">
        <v>5.05</v>
      </c>
      <c r="G128" s="25">
        <v>5.05</v>
      </c>
      <c r="H128" s="25">
        <v>0</v>
      </c>
      <c r="I128" s="25">
        <v>20.2</v>
      </c>
      <c r="J128" s="25">
        <v>10.1</v>
      </c>
      <c r="K128" s="25">
        <v>5.05</v>
      </c>
      <c r="L128" s="25">
        <v>0</v>
      </c>
      <c r="M128" s="25">
        <v>60.59</v>
      </c>
      <c r="N128" s="25">
        <v>40.39</v>
      </c>
      <c r="O128" s="25">
        <v>0</v>
      </c>
      <c r="P128" s="25">
        <v>5.05</v>
      </c>
      <c r="Q128" s="25">
        <v>45.44</v>
      </c>
      <c r="R128" s="25">
        <v>60.59</v>
      </c>
      <c r="S128" s="25">
        <v>0</v>
      </c>
      <c r="T128" s="25">
        <v>10.1</v>
      </c>
      <c r="U128" s="25">
        <v>40.39</v>
      </c>
      <c r="V128" s="25">
        <v>80.790000000000006</v>
      </c>
      <c r="W128" s="25">
        <v>15.15</v>
      </c>
      <c r="X128" s="25">
        <v>10.1</v>
      </c>
      <c r="Y128" s="25">
        <v>50.49</v>
      </c>
      <c r="Z128" s="25">
        <v>5.05</v>
      </c>
      <c r="AA128" s="25">
        <v>5.05</v>
      </c>
      <c r="AB128" s="25">
        <v>0</v>
      </c>
      <c r="AC128" s="25">
        <v>116.13</v>
      </c>
      <c r="AD128" s="25">
        <v>100.98</v>
      </c>
      <c r="AE128" s="25">
        <v>0</v>
      </c>
      <c r="AF128" s="25">
        <v>5.05</v>
      </c>
      <c r="AG128" s="25">
        <v>111.08</v>
      </c>
      <c r="AH128" s="25">
        <v>80.790000000000006</v>
      </c>
      <c r="AI128" s="25" t="s">
        <v>88</v>
      </c>
      <c r="AJ128" s="25" t="s">
        <v>89</v>
      </c>
    </row>
    <row r="129" spans="1:36" x14ac:dyDescent="0.25">
      <c r="A129" s="26" t="s">
        <v>344</v>
      </c>
      <c r="B129" t="s">
        <v>345</v>
      </c>
      <c r="C129" s="25">
        <v>0</v>
      </c>
      <c r="D129" s="25">
        <v>0</v>
      </c>
      <c r="E129" s="25">
        <v>2.65</v>
      </c>
      <c r="F129" s="25">
        <v>0</v>
      </c>
      <c r="G129" s="25">
        <v>48.18</v>
      </c>
      <c r="H129" s="25">
        <v>14.4</v>
      </c>
      <c r="I129" s="25">
        <v>164.47</v>
      </c>
      <c r="J129" s="25">
        <v>66.260000000000005</v>
      </c>
      <c r="K129" s="25">
        <v>405.05</v>
      </c>
      <c r="L129" s="25">
        <v>309.56</v>
      </c>
      <c r="M129" s="25">
        <v>1965.54</v>
      </c>
      <c r="N129" s="25">
        <v>1279.99</v>
      </c>
      <c r="O129" s="25">
        <v>94.24</v>
      </c>
      <c r="P129" s="25">
        <v>116.65</v>
      </c>
      <c r="Q129" s="25">
        <v>738.72</v>
      </c>
      <c r="R129" s="25">
        <v>959</v>
      </c>
      <c r="S129" s="25">
        <v>43.43</v>
      </c>
      <c r="T129" s="25">
        <v>202.47</v>
      </c>
      <c r="U129" s="25">
        <v>273.29000000000002</v>
      </c>
      <c r="V129" s="25">
        <v>722.64</v>
      </c>
      <c r="W129" s="25">
        <v>129.41</v>
      </c>
      <c r="X129" s="25">
        <v>45.94</v>
      </c>
      <c r="Y129" s="25">
        <v>258.60000000000002</v>
      </c>
      <c r="Z129" s="25">
        <v>57.31</v>
      </c>
      <c r="AA129" s="25">
        <v>142.85</v>
      </c>
      <c r="AB129" s="25">
        <v>171.6</v>
      </c>
      <c r="AC129" s="25">
        <v>1088.0899999999999</v>
      </c>
      <c r="AD129" s="25">
        <v>1630.02</v>
      </c>
      <c r="AE129" s="25">
        <v>207.91</v>
      </c>
      <c r="AF129" s="25">
        <v>293.99</v>
      </c>
      <c r="AG129" s="25">
        <v>2741.39</v>
      </c>
      <c r="AH129" s="25">
        <v>2246.6</v>
      </c>
      <c r="AI129" s="25" t="s">
        <v>88</v>
      </c>
      <c r="AJ129" s="25" t="s">
        <v>89</v>
      </c>
    </row>
    <row r="130" spans="1:36" x14ac:dyDescent="0.25">
      <c r="A130" s="26" t="s">
        <v>346</v>
      </c>
      <c r="B130" t="s">
        <v>347</v>
      </c>
      <c r="C130" s="25">
        <v>0</v>
      </c>
      <c r="D130" s="25">
        <v>0</v>
      </c>
      <c r="E130" s="25">
        <v>0</v>
      </c>
      <c r="F130" s="25">
        <v>0</v>
      </c>
      <c r="G130" s="25">
        <v>0</v>
      </c>
      <c r="H130" s="25">
        <v>0</v>
      </c>
      <c r="I130" s="25">
        <v>4.9000000000000004</v>
      </c>
      <c r="J130" s="25">
        <v>0</v>
      </c>
      <c r="K130" s="25">
        <v>4.9000000000000004</v>
      </c>
      <c r="L130" s="25">
        <v>0</v>
      </c>
      <c r="M130" s="25">
        <v>19.59</v>
      </c>
      <c r="N130" s="25">
        <v>9.8000000000000007</v>
      </c>
      <c r="O130" s="25">
        <v>0</v>
      </c>
      <c r="P130" s="25">
        <v>0</v>
      </c>
      <c r="Q130" s="25">
        <v>9.8000000000000007</v>
      </c>
      <c r="R130" s="25">
        <v>9.8000000000000007</v>
      </c>
      <c r="S130" s="25">
        <v>0</v>
      </c>
      <c r="T130" s="25">
        <v>0</v>
      </c>
      <c r="U130" s="25">
        <v>0</v>
      </c>
      <c r="V130" s="25">
        <v>34.29</v>
      </c>
      <c r="W130" s="25">
        <v>9.8000000000000007</v>
      </c>
      <c r="X130" s="25">
        <v>4.9000000000000004</v>
      </c>
      <c r="Y130" s="25">
        <v>0</v>
      </c>
      <c r="Z130" s="25">
        <v>0</v>
      </c>
      <c r="AA130" s="25">
        <v>0</v>
      </c>
      <c r="AB130" s="25">
        <v>0</v>
      </c>
      <c r="AC130" s="25">
        <v>19.59</v>
      </c>
      <c r="AD130" s="25">
        <v>19.59</v>
      </c>
      <c r="AE130" s="25">
        <v>0</v>
      </c>
      <c r="AF130" s="25">
        <v>0</v>
      </c>
      <c r="AG130" s="25">
        <v>34.29</v>
      </c>
      <c r="AH130" s="25">
        <v>24.49</v>
      </c>
      <c r="AI130" s="25" t="s">
        <v>94</v>
      </c>
      <c r="AJ130" s="25" t="s">
        <v>89</v>
      </c>
    </row>
    <row r="131" spans="1:36" x14ac:dyDescent="0.25">
      <c r="A131" s="26" t="s">
        <v>348</v>
      </c>
      <c r="B131" t="s">
        <v>349</v>
      </c>
      <c r="C131" s="25">
        <v>0</v>
      </c>
      <c r="D131" s="25">
        <v>0</v>
      </c>
      <c r="E131" s="25">
        <v>0</v>
      </c>
      <c r="F131" s="25">
        <v>0</v>
      </c>
      <c r="G131" s="25">
        <v>109.7</v>
      </c>
      <c r="H131" s="25">
        <v>23.82</v>
      </c>
      <c r="I131" s="25">
        <v>324.64999999999998</v>
      </c>
      <c r="J131" s="25">
        <v>88.93</v>
      </c>
      <c r="K131" s="25">
        <v>780.23</v>
      </c>
      <c r="L131" s="25">
        <v>434.44</v>
      </c>
      <c r="M131" s="25">
        <v>3582.64</v>
      </c>
      <c r="N131" s="25">
        <v>2449.4299999999998</v>
      </c>
      <c r="O131" s="25">
        <v>268.62</v>
      </c>
      <c r="P131" s="25">
        <v>247.44</v>
      </c>
      <c r="Q131" s="25">
        <v>1960.91</v>
      </c>
      <c r="R131" s="25">
        <v>2198.65</v>
      </c>
      <c r="S131" s="25">
        <v>224.16</v>
      </c>
      <c r="T131" s="25">
        <v>667.74</v>
      </c>
      <c r="U131" s="25">
        <v>988.36</v>
      </c>
      <c r="V131" s="25">
        <v>1973.79</v>
      </c>
      <c r="W131" s="25">
        <v>428.96</v>
      </c>
      <c r="X131" s="25">
        <v>132.06</v>
      </c>
      <c r="Y131" s="25">
        <v>841.94</v>
      </c>
      <c r="Z131" s="25">
        <v>212.5</v>
      </c>
      <c r="AA131" s="25">
        <v>340.78</v>
      </c>
      <c r="AB131" s="25">
        <v>268.88</v>
      </c>
      <c r="AC131" s="25">
        <v>2007.05</v>
      </c>
      <c r="AD131" s="25">
        <v>2881.09</v>
      </c>
      <c r="AE131" s="25">
        <v>636.65</v>
      </c>
      <c r="AF131" s="25">
        <v>752.87</v>
      </c>
      <c r="AG131" s="25">
        <v>5529.76</v>
      </c>
      <c r="AH131" s="25">
        <v>5163.82</v>
      </c>
      <c r="AI131" s="25" t="s">
        <v>88</v>
      </c>
      <c r="AJ131" s="25" t="s">
        <v>89</v>
      </c>
    </row>
    <row r="132" spans="1:36" x14ac:dyDescent="0.25">
      <c r="A132" s="26" t="s">
        <v>350</v>
      </c>
      <c r="B132" t="s">
        <v>351</v>
      </c>
      <c r="C132" s="25">
        <v>0</v>
      </c>
      <c r="D132" s="25">
        <v>0</v>
      </c>
      <c r="E132" s="25">
        <v>0</v>
      </c>
      <c r="F132" s="25">
        <v>0</v>
      </c>
      <c r="G132" s="25">
        <v>89.44</v>
      </c>
      <c r="H132" s="25">
        <v>14.91</v>
      </c>
      <c r="I132" s="25">
        <v>144.12</v>
      </c>
      <c r="J132" s="25">
        <v>54.72</v>
      </c>
      <c r="K132" s="25">
        <v>34.78</v>
      </c>
      <c r="L132" s="25">
        <v>14.91</v>
      </c>
      <c r="M132" s="25">
        <v>283.20999999999998</v>
      </c>
      <c r="N132" s="25">
        <v>203.72</v>
      </c>
      <c r="O132" s="25">
        <v>79.5</v>
      </c>
      <c r="P132" s="25">
        <v>59.62</v>
      </c>
      <c r="Q132" s="25">
        <v>372.65</v>
      </c>
      <c r="R132" s="25">
        <v>581.34</v>
      </c>
      <c r="S132" s="25">
        <v>29.81</v>
      </c>
      <c r="T132" s="25">
        <v>213.65</v>
      </c>
      <c r="U132" s="25">
        <v>263.43</v>
      </c>
      <c r="V132" s="25">
        <v>546.71</v>
      </c>
      <c r="W132" s="25">
        <v>149.06</v>
      </c>
      <c r="X132" s="25">
        <v>24.84</v>
      </c>
      <c r="Y132" s="25">
        <v>322.95999999999998</v>
      </c>
      <c r="Z132" s="25">
        <v>59.62</v>
      </c>
      <c r="AA132" s="25">
        <v>248.47</v>
      </c>
      <c r="AB132" s="25">
        <v>163.97</v>
      </c>
      <c r="AC132" s="25">
        <v>561.59</v>
      </c>
      <c r="AD132" s="25">
        <v>621.15</v>
      </c>
      <c r="AE132" s="25">
        <v>19.87</v>
      </c>
      <c r="AF132" s="25">
        <v>149.09</v>
      </c>
      <c r="AG132" s="25">
        <v>984.02</v>
      </c>
      <c r="AH132" s="25">
        <v>1098.33</v>
      </c>
      <c r="AI132" s="25" t="s">
        <v>101</v>
      </c>
      <c r="AJ132" s="25" t="s">
        <v>89</v>
      </c>
    </row>
    <row r="133" spans="1:36" x14ac:dyDescent="0.25">
      <c r="A133" s="26" t="s">
        <v>352</v>
      </c>
      <c r="B133" t="s">
        <v>353</v>
      </c>
      <c r="C133" s="25">
        <v>0</v>
      </c>
      <c r="D133" s="25">
        <v>0</v>
      </c>
      <c r="E133" s="25">
        <v>5.13</v>
      </c>
      <c r="F133" s="25">
        <v>5.13</v>
      </c>
      <c r="G133" s="25">
        <v>4.37</v>
      </c>
      <c r="H133" s="25">
        <v>0</v>
      </c>
      <c r="I133" s="25">
        <v>0</v>
      </c>
      <c r="J133" s="25">
        <v>5.13</v>
      </c>
      <c r="K133" s="25">
        <v>9.17</v>
      </c>
      <c r="L133" s="25">
        <v>0</v>
      </c>
      <c r="M133" s="25">
        <v>42.94</v>
      </c>
      <c r="N133" s="25">
        <v>4.74</v>
      </c>
      <c r="O133" s="25">
        <v>0</v>
      </c>
      <c r="P133" s="25">
        <v>8.1</v>
      </c>
      <c r="Q133" s="25">
        <v>32.17</v>
      </c>
      <c r="R133" s="25">
        <v>73.010000000000005</v>
      </c>
      <c r="S133" s="25">
        <v>0</v>
      </c>
      <c r="T133" s="25">
        <v>9.8699999999999992</v>
      </c>
      <c r="U133" s="25">
        <v>14.64</v>
      </c>
      <c r="V133" s="25">
        <v>39.6</v>
      </c>
      <c r="W133" s="25">
        <v>4.37</v>
      </c>
      <c r="X133" s="25">
        <v>4.37</v>
      </c>
      <c r="Y133" s="25">
        <v>35.950000000000003</v>
      </c>
      <c r="Z133" s="25">
        <v>5.13</v>
      </c>
      <c r="AA133" s="25">
        <v>0</v>
      </c>
      <c r="AB133" s="25">
        <v>0</v>
      </c>
      <c r="AC133" s="25">
        <v>51.74</v>
      </c>
      <c r="AD133" s="25">
        <v>58.58</v>
      </c>
      <c r="AE133" s="25">
        <v>4.37</v>
      </c>
      <c r="AF133" s="25">
        <v>5.13</v>
      </c>
      <c r="AG133" s="25">
        <v>67.75</v>
      </c>
      <c r="AH133" s="25">
        <v>58.07</v>
      </c>
      <c r="AI133" s="25" t="s">
        <v>94</v>
      </c>
      <c r="AJ133" s="25" t="s">
        <v>89</v>
      </c>
    </row>
    <row r="134" spans="1:36" x14ac:dyDescent="0.25">
      <c r="A134" s="26" t="s">
        <v>354</v>
      </c>
      <c r="B134" t="s">
        <v>355</v>
      </c>
      <c r="C134" s="25">
        <v>0</v>
      </c>
      <c r="D134" s="25">
        <v>0</v>
      </c>
      <c r="E134" s="25">
        <v>4.91</v>
      </c>
      <c r="F134" s="25">
        <v>0</v>
      </c>
      <c r="G134" s="25">
        <v>14.73</v>
      </c>
      <c r="H134" s="25">
        <v>14.73</v>
      </c>
      <c r="I134" s="25">
        <v>29.45</v>
      </c>
      <c r="J134" s="25">
        <v>9.82</v>
      </c>
      <c r="K134" s="25">
        <v>14.73</v>
      </c>
      <c r="L134" s="25">
        <v>19.64</v>
      </c>
      <c r="M134" s="25">
        <v>370.26</v>
      </c>
      <c r="N134" s="25">
        <v>194.55</v>
      </c>
      <c r="O134" s="25">
        <v>29.45</v>
      </c>
      <c r="P134" s="25">
        <v>29.45</v>
      </c>
      <c r="Q134" s="25">
        <v>225.82</v>
      </c>
      <c r="R134" s="25">
        <v>348.54</v>
      </c>
      <c r="S134" s="25">
        <v>14.73</v>
      </c>
      <c r="T134" s="25">
        <v>49.09</v>
      </c>
      <c r="U134" s="25">
        <v>166.91</v>
      </c>
      <c r="V134" s="25">
        <v>272.06</v>
      </c>
      <c r="W134" s="25">
        <v>44.18</v>
      </c>
      <c r="X134" s="25">
        <v>14.73</v>
      </c>
      <c r="Y134" s="25">
        <v>132.72999999999999</v>
      </c>
      <c r="Z134" s="25">
        <v>29.45</v>
      </c>
      <c r="AA134" s="25">
        <v>24.55</v>
      </c>
      <c r="AB134" s="25">
        <v>9.82</v>
      </c>
      <c r="AC134" s="25">
        <v>333.82</v>
      </c>
      <c r="AD134" s="25">
        <v>407.45</v>
      </c>
      <c r="AE134" s="25">
        <v>39.270000000000003</v>
      </c>
      <c r="AF134" s="25">
        <v>58.91</v>
      </c>
      <c r="AG134" s="25">
        <v>589.17999999999995</v>
      </c>
      <c r="AH134" s="25">
        <v>608.82000000000005</v>
      </c>
      <c r="AI134" s="25" t="s">
        <v>88</v>
      </c>
      <c r="AJ134" s="25" t="s">
        <v>89</v>
      </c>
    </row>
    <row r="135" spans="1:36" x14ac:dyDescent="0.25">
      <c r="A135" s="26" t="s">
        <v>356</v>
      </c>
      <c r="B135" t="s">
        <v>357</v>
      </c>
      <c r="C135" s="25">
        <v>0</v>
      </c>
      <c r="D135" s="25">
        <v>0</v>
      </c>
      <c r="E135" s="25">
        <v>5.26</v>
      </c>
      <c r="F135" s="25">
        <v>0</v>
      </c>
      <c r="G135" s="25">
        <v>0</v>
      </c>
      <c r="H135" s="25">
        <v>0</v>
      </c>
      <c r="I135" s="25">
        <v>15.67</v>
      </c>
      <c r="J135" s="25">
        <v>5.05</v>
      </c>
      <c r="K135" s="25">
        <v>0</v>
      </c>
      <c r="L135" s="25">
        <v>0</v>
      </c>
      <c r="M135" s="25">
        <v>5.26</v>
      </c>
      <c r="N135" s="25">
        <v>5.15</v>
      </c>
      <c r="O135" s="25">
        <v>0</v>
      </c>
      <c r="P135" s="25">
        <v>0</v>
      </c>
      <c r="Q135" s="25">
        <v>20.61</v>
      </c>
      <c r="R135" s="25">
        <v>25.86</v>
      </c>
      <c r="S135" s="25">
        <v>0</v>
      </c>
      <c r="T135" s="25">
        <v>0</v>
      </c>
      <c r="U135" s="25">
        <v>10.62</v>
      </c>
      <c r="V135" s="25">
        <v>26.08</v>
      </c>
      <c r="W135" s="25">
        <v>0</v>
      </c>
      <c r="X135" s="25">
        <v>0</v>
      </c>
      <c r="Y135" s="25">
        <v>25.76</v>
      </c>
      <c r="Z135" s="25">
        <v>15.78</v>
      </c>
      <c r="AA135" s="25">
        <v>0</v>
      </c>
      <c r="AB135" s="25">
        <v>0</v>
      </c>
      <c r="AC135" s="25">
        <v>20.09</v>
      </c>
      <c r="AD135" s="25">
        <v>25.04</v>
      </c>
      <c r="AE135" s="25">
        <v>0</v>
      </c>
      <c r="AF135" s="25">
        <v>0</v>
      </c>
      <c r="AG135" s="25">
        <v>68.14</v>
      </c>
      <c r="AH135" s="25">
        <v>52.79</v>
      </c>
      <c r="AI135" s="25" t="s">
        <v>88</v>
      </c>
      <c r="AJ135" s="25" t="s">
        <v>89</v>
      </c>
    </row>
    <row r="136" spans="1:36" x14ac:dyDescent="0.25">
      <c r="A136" s="26" t="s">
        <v>358</v>
      </c>
      <c r="B136" t="s">
        <v>359</v>
      </c>
      <c r="C136" s="25">
        <v>0</v>
      </c>
      <c r="D136" s="25">
        <v>0</v>
      </c>
      <c r="E136" s="25">
        <v>0</v>
      </c>
      <c r="F136" s="25">
        <v>0</v>
      </c>
      <c r="G136" s="25">
        <v>0</v>
      </c>
      <c r="H136" s="25">
        <v>0</v>
      </c>
      <c r="I136" s="25">
        <v>10</v>
      </c>
      <c r="J136" s="25">
        <v>0</v>
      </c>
      <c r="K136" s="25">
        <v>0</v>
      </c>
      <c r="L136" s="25">
        <v>0</v>
      </c>
      <c r="M136" s="25">
        <v>10</v>
      </c>
      <c r="N136" s="25">
        <v>10</v>
      </c>
      <c r="O136" s="25">
        <v>0</v>
      </c>
      <c r="P136" s="25">
        <v>0</v>
      </c>
      <c r="Q136" s="25">
        <v>20</v>
      </c>
      <c r="R136" s="25">
        <v>20</v>
      </c>
      <c r="S136" s="25">
        <v>0</v>
      </c>
      <c r="T136" s="25">
        <v>0</v>
      </c>
      <c r="U136" s="25">
        <v>5</v>
      </c>
      <c r="V136" s="25">
        <v>15</v>
      </c>
      <c r="W136" s="25">
        <v>0</v>
      </c>
      <c r="X136" s="25">
        <v>0</v>
      </c>
      <c r="Y136" s="25">
        <v>20</v>
      </c>
      <c r="Z136" s="25">
        <v>10</v>
      </c>
      <c r="AA136" s="25">
        <v>0</v>
      </c>
      <c r="AB136" s="25">
        <v>0</v>
      </c>
      <c r="AC136" s="25">
        <v>30</v>
      </c>
      <c r="AD136" s="25">
        <v>30</v>
      </c>
      <c r="AE136" s="25">
        <v>0</v>
      </c>
      <c r="AF136" s="25">
        <v>0</v>
      </c>
      <c r="AG136" s="25">
        <v>20</v>
      </c>
      <c r="AH136" s="25">
        <v>55</v>
      </c>
      <c r="AI136" s="25" t="s">
        <v>94</v>
      </c>
      <c r="AJ136" s="25" t="s">
        <v>89</v>
      </c>
    </row>
    <row r="137" spans="1:36" x14ac:dyDescent="0.25">
      <c r="A137" s="26" t="s">
        <v>360</v>
      </c>
      <c r="B137" t="s">
        <v>361</v>
      </c>
      <c r="C137" s="25">
        <v>0</v>
      </c>
      <c r="D137" s="25">
        <v>0</v>
      </c>
      <c r="E137" s="25">
        <v>0</v>
      </c>
      <c r="F137" s="25">
        <v>0</v>
      </c>
      <c r="G137" s="25">
        <v>0</v>
      </c>
      <c r="H137" s="25">
        <v>0</v>
      </c>
      <c r="I137" s="25">
        <v>0</v>
      </c>
      <c r="J137" s="25">
        <v>5.16</v>
      </c>
      <c r="K137" s="25">
        <v>5.16</v>
      </c>
      <c r="L137" s="25">
        <v>0</v>
      </c>
      <c r="M137" s="25">
        <v>10.31</v>
      </c>
      <c r="N137" s="25">
        <v>5.16</v>
      </c>
      <c r="O137" s="25">
        <v>5.16</v>
      </c>
      <c r="P137" s="25">
        <v>0</v>
      </c>
      <c r="Q137" s="25">
        <v>36.090000000000003</v>
      </c>
      <c r="R137" s="25">
        <v>36.090000000000003</v>
      </c>
      <c r="S137" s="25">
        <v>0</v>
      </c>
      <c r="T137" s="25">
        <v>0</v>
      </c>
      <c r="U137" s="25">
        <v>0</v>
      </c>
      <c r="V137" s="25">
        <v>20.62</v>
      </c>
      <c r="W137" s="25">
        <v>0</v>
      </c>
      <c r="X137" s="25">
        <v>0</v>
      </c>
      <c r="Y137" s="25">
        <v>15.47</v>
      </c>
      <c r="Z137" s="25">
        <v>0</v>
      </c>
      <c r="AA137" s="25">
        <v>0</v>
      </c>
      <c r="AB137" s="25">
        <v>0</v>
      </c>
      <c r="AC137" s="25">
        <v>30.93</v>
      </c>
      <c r="AD137" s="25">
        <v>30.93</v>
      </c>
      <c r="AE137" s="25">
        <v>0</v>
      </c>
      <c r="AF137" s="25">
        <v>0</v>
      </c>
      <c r="AG137" s="25">
        <v>30.93</v>
      </c>
      <c r="AH137" s="25">
        <v>25.78</v>
      </c>
      <c r="AI137" s="25" t="s">
        <v>88</v>
      </c>
      <c r="AJ137" s="25" t="s">
        <v>89</v>
      </c>
    </row>
    <row r="138" spans="1:36" x14ac:dyDescent="0.25">
      <c r="A138" s="26" t="s">
        <v>362</v>
      </c>
      <c r="B138" t="s">
        <v>363</v>
      </c>
      <c r="C138" s="25">
        <v>0</v>
      </c>
      <c r="D138" s="25">
        <v>0</v>
      </c>
      <c r="E138" s="25">
        <v>15.68</v>
      </c>
      <c r="F138" s="25">
        <v>0</v>
      </c>
      <c r="G138" s="25">
        <v>10.46</v>
      </c>
      <c r="H138" s="25">
        <v>0</v>
      </c>
      <c r="I138" s="25">
        <v>20.91</v>
      </c>
      <c r="J138" s="25">
        <v>31.37</v>
      </c>
      <c r="K138" s="25">
        <v>0</v>
      </c>
      <c r="L138" s="25">
        <v>0</v>
      </c>
      <c r="M138" s="25">
        <v>31.37</v>
      </c>
      <c r="N138" s="25">
        <v>20.91</v>
      </c>
      <c r="O138" s="25">
        <v>20.91</v>
      </c>
      <c r="P138" s="25">
        <v>0</v>
      </c>
      <c r="Q138" s="25">
        <v>167.28</v>
      </c>
      <c r="R138" s="25">
        <v>120.23</v>
      </c>
      <c r="S138" s="25">
        <v>5.23</v>
      </c>
      <c r="T138" s="25">
        <v>41.82</v>
      </c>
      <c r="U138" s="25">
        <v>47.05</v>
      </c>
      <c r="V138" s="25">
        <v>318.88</v>
      </c>
      <c r="W138" s="25">
        <v>26.14</v>
      </c>
      <c r="X138" s="25">
        <v>5.23</v>
      </c>
      <c r="Y138" s="25">
        <v>224.79</v>
      </c>
      <c r="Z138" s="25">
        <v>47.05</v>
      </c>
      <c r="AA138" s="25">
        <v>5.23</v>
      </c>
      <c r="AB138" s="25">
        <v>10.32</v>
      </c>
      <c r="AC138" s="25">
        <v>135.38999999999999</v>
      </c>
      <c r="AD138" s="25">
        <v>223.59</v>
      </c>
      <c r="AE138" s="25">
        <v>31.37</v>
      </c>
      <c r="AF138" s="25">
        <v>20.91</v>
      </c>
      <c r="AG138" s="25">
        <v>355.47</v>
      </c>
      <c r="AH138" s="25">
        <v>282.29000000000002</v>
      </c>
      <c r="AI138" s="25" t="s">
        <v>88</v>
      </c>
      <c r="AJ138" s="25" t="s">
        <v>89</v>
      </c>
    </row>
    <row r="139" spans="1:36" x14ac:dyDescent="0.25">
      <c r="A139" s="26" t="s">
        <v>364</v>
      </c>
      <c r="B139" t="s">
        <v>365</v>
      </c>
      <c r="C139" s="25">
        <v>0</v>
      </c>
      <c r="D139" s="25">
        <v>0</v>
      </c>
      <c r="E139" s="25">
        <v>4.95</v>
      </c>
      <c r="F139" s="25">
        <v>0</v>
      </c>
      <c r="G139" s="25">
        <v>45.13</v>
      </c>
      <c r="H139" s="25">
        <v>20.23</v>
      </c>
      <c r="I139" s="25">
        <v>86.02</v>
      </c>
      <c r="J139" s="25">
        <v>25.09</v>
      </c>
      <c r="K139" s="25">
        <v>95.83</v>
      </c>
      <c r="L139" s="25">
        <v>40.46</v>
      </c>
      <c r="M139" s="25">
        <v>383.68</v>
      </c>
      <c r="N139" s="25">
        <v>151.41999999999999</v>
      </c>
      <c r="O139" s="25">
        <v>126.25</v>
      </c>
      <c r="P139" s="25">
        <v>85.83</v>
      </c>
      <c r="Q139" s="25">
        <v>459.29</v>
      </c>
      <c r="R139" s="25">
        <v>605.94000000000005</v>
      </c>
      <c r="S139" s="25">
        <v>70.34</v>
      </c>
      <c r="T139" s="25">
        <v>215.96</v>
      </c>
      <c r="U139" s="25">
        <v>338.55</v>
      </c>
      <c r="V139" s="25">
        <v>747.02</v>
      </c>
      <c r="W139" s="25">
        <v>239.33</v>
      </c>
      <c r="X139" s="25">
        <v>65.319999999999993</v>
      </c>
      <c r="Y139" s="25">
        <v>418.68</v>
      </c>
      <c r="Z139" s="25">
        <v>55.69</v>
      </c>
      <c r="AA139" s="25">
        <v>121.35</v>
      </c>
      <c r="AB139" s="25">
        <v>157.37</v>
      </c>
      <c r="AC139" s="25">
        <v>692.31</v>
      </c>
      <c r="AD139" s="25">
        <v>911.36</v>
      </c>
      <c r="AE139" s="25">
        <v>154.32</v>
      </c>
      <c r="AF139" s="25">
        <v>194.4</v>
      </c>
      <c r="AG139" s="25">
        <v>1145.1300000000001</v>
      </c>
      <c r="AH139" s="25">
        <v>1337.72</v>
      </c>
      <c r="AI139" s="25" t="s">
        <v>88</v>
      </c>
      <c r="AJ139" s="25" t="s">
        <v>89</v>
      </c>
    </row>
    <row r="140" spans="1:36" x14ac:dyDescent="0.25">
      <c r="A140" s="26" t="s">
        <v>366</v>
      </c>
      <c r="B140" t="s">
        <v>367</v>
      </c>
      <c r="C140" s="25">
        <v>0</v>
      </c>
      <c r="D140" s="25">
        <v>0</v>
      </c>
      <c r="E140" s="25">
        <v>4.96</v>
      </c>
      <c r="F140" s="25">
        <v>0</v>
      </c>
      <c r="G140" s="25">
        <v>0</v>
      </c>
      <c r="H140" s="25">
        <v>0</v>
      </c>
      <c r="I140" s="25">
        <v>0</v>
      </c>
      <c r="J140" s="25">
        <v>0</v>
      </c>
      <c r="K140" s="25">
        <v>0</v>
      </c>
      <c r="L140" s="25">
        <v>0</v>
      </c>
      <c r="M140" s="25">
        <v>29.68</v>
      </c>
      <c r="N140" s="25">
        <v>9.83</v>
      </c>
      <c r="O140" s="25">
        <v>0</v>
      </c>
      <c r="P140" s="25">
        <v>0</v>
      </c>
      <c r="Q140" s="25">
        <v>29.68</v>
      </c>
      <c r="R140" s="25">
        <v>39.42</v>
      </c>
      <c r="S140" s="25">
        <v>0</v>
      </c>
      <c r="T140" s="25">
        <v>0</v>
      </c>
      <c r="U140" s="25">
        <v>19.79</v>
      </c>
      <c r="V140" s="25">
        <v>44.65</v>
      </c>
      <c r="W140" s="25">
        <v>0</v>
      </c>
      <c r="X140" s="25">
        <v>0</v>
      </c>
      <c r="Y140" s="25">
        <v>15.07</v>
      </c>
      <c r="Z140" s="25">
        <v>0</v>
      </c>
      <c r="AA140" s="25">
        <v>0</v>
      </c>
      <c r="AB140" s="25">
        <v>0</v>
      </c>
      <c r="AC140" s="25">
        <v>45.49</v>
      </c>
      <c r="AD140" s="25">
        <v>45.58</v>
      </c>
      <c r="AE140" s="25">
        <v>0</v>
      </c>
      <c r="AF140" s="25">
        <v>0</v>
      </c>
      <c r="AG140" s="25">
        <v>48.52</v>
      </c>
      <c r="AH140" s="25">
        <v>49.07</v>
      </c>
      <c r="AI140" s="25" t="s">
        <v>94</v>
      </c>
      <c r="AJ140" s="25" t="s">
        <v>89</v>
      </c>
    </row>
    <row r="141" spans="1:36" x14ac:dyDescent="0.25">
      <c r="A141" s="26" t="s">
        <v>368</v>
      </c>
      <c r="B141" t="s">
        <v>369</v>
      </c>
      <c r="C141" s="25">
        <v>0</v>
      </c>
      <c r="D141" s="25">
        <v>0</v>
      </c>
      <c r="E141" s="25">
        <v>1</v>
      </c>
      <c r="F141" s="25">
        <v>0</v>
      </c>
      <c r="G141" s="25">
        <v>282.08</v>
      </c>
      <c r="H141" s="25">
        <v>26.76</v>
      </c>
      <c r="I141" s="25">
        <v>214.05</v>
      </c>
      <c r="J141" s="25">
        <v>78.52</v>
      </c>
      <c r="K141" s="25">
        <v>233.31</v>
      </c>
      <c r="L141" s="25">
        <v>151.06</v>
      </c>
      <c r="M141" s="25">
        <v>845.46</v>
      </c>
      <c r="N141" s="25">
        <v>576.15</v>
      </c>
      <c r="O141" s="25">
        <v>409.69</v>
      </c>
      <c r="P141" s="25">
        <v>392.89</v>
      </c>
      <c r="Q141" s="25">
        <v>1309.0899999999999</v>
      </c>
      <c r="R141" s="25">
        <v>1517.54</v>
      </c>
      <c r="S141" s="25">
        <v>404.3</v>
      </c>
      <c r="T141" s="25">
        <v>1089.9100000000001</v>
      </c>
      <c r="U141" s="25">
        <v>774.65</v>
      </c>
      <c r="V141" s="25">
        <v>2351.38</v>
      </c>
      <c r="W141" s="25">
        <v>1167.51</v>
      </c>
      <c r="X141" s="25">
        <v>234.72</v>
      </c>
      <c r="Y141" s="25">
        <v>1219.29</v>
      </c>
      <c r="Z141" s="25">
        <v>257.87</v>
      </c>
      <c r="AA141" s="25">
        <v>433.49</v>
      </c>
      <c r="AB141" s="25">
        <v>397.63</v>
      </c>
      <c r="AC141" s="25">
        <v>1534.01</v>
      </c>
      <c r="AD141" s="25">
        <v>2113.83</v>
      </c>
      <c r="AE141" s="25">
        <v>563.11</v>
      </c>
      <c r="AF141" s="25">
        <v>1356.19</v>
      </c>
      <c r="AG141" s="25">
        <v>4447.3</v>
      </c>
      <c r="AH141" s="25">
        <v>4841.8500000000004</v>
      </c>
      <c r="AI141" s="25" t="s">
        <v>88</v>
      </c>
      <c r="AJ141" s="25" t="s">
        <v>89</v>
      </c>
    </row>
    <row r="142" spans="1:36" x14ac:dyDescent="0.25">
      <c r="A142" s="26" t="s">
        <v>370</v>
      </c>
      <c r="B142" t="s">
        <v>371</v>
      </c>
      <c r="C142" s="25">
        <v>0</v>
      </c>
      <c r="D142" s="25">
        <v>0</v>
      </c>
      <c r="E142" s="25">
        <v>5.14</v>
      </c>
      <c r="F142" s="25">
        <v>0</v>
      </c>
      <c r="G142" s="25">
        <v>5.14</v>
      </c>
      <c r="H142" s="25">
        <v>0</v>
      </c>
      <c r="I142" s="25">
        <v>46.15</v>
      </c>
      <c r="J142" s="25">
        <v>20.55</v>
      </c>
      <c r="K142" s="25">
        <v>10.23</v>
      </c>
      <c r="L142" s="25">
        <v>0</v>
      </c>
      <c r="M142" s="25">
        <v>92.03</v>
      </c>
      <c r="N142" s="25">
        <v>35.83</v>
      </c>
      <c r="O142" s="25">
        <v>5.14</v>
      </c>
      <c r="P142" s="25">
        <v>0</v>
      </c>
      <c r="Q142" s="25">
        <v>97.39</v>
      </c>
      <c r="R142" s="25">
        <v>138.38999999999999</v>
      </c>
      <c r="S142" s="25">
        <v>0</v>
      </c>
      <c r="T142" s="25">
        <v>5.05</v>
      </c>
      <c r="U142" s="25">
        <v>40.92</v>
      </c>
      <c r="V142" s="25">
        <v>97.04</v>
      </c>
      <c r="W142" s="25">
        <v>10.27</v>
      </c>
      <c r="X142" s="25">
        <v>0</v>
      </c>
      <c r="Y142" s="25">
        <v>66.56</v>
      </c>
      <c r="Z142" s="25">
        <v>20.55</v>
      </c>
      <c r="AA142" s="25">
        <v>10.36</v>
      </c>
      <c r="AB142" s="25">
        <v>10.36</v>
      </c>
      <c r="AC142" s="25">
        <v>118.31</v>
      </c>
      <c r="AD142" s="25">
        <v>117.31</v>
      </c>
      <c r="AE142" s="25">
        <v>0</v>
      </c>
      <c r="AF142" s="25">
        <v>0</v>
      </c>
      <c r="AG142" s="25">
        <v>188.23</v>
      </c>
      <c r="AH142" s="25">
        <v>254.36</v>
      </c>
      <c r="AI142" s="25" t="s">
        <v>94</v>
      </c>
      <c r="AJ142" s="25" t="s">
        <v>89</v>
      </c>
    </row>
    <row r="143" spans="1:36" x14ac:dyDescent="0.25">
      <c r="A143" s="26" t="s">
        <v>372</v>
      </c>
      <c r="B143" t="s">
        <v>373</v>
      </c>
      <c r="C143" s="25">
        <v>0</v>
      </c>
      <c r="D143" s="25">
        <v>0</v>
      </c>
      <c r="E143" s="25">
        <v>0</v>
      </c>
      <c r="F143" s="25">
        <v>0</v>
      </c>
      <c r="G143" s="25">
        <v>0</v>
      </c>
      <c r="H143" s="25">
        <v>0</v>
      </c>
      <c r="I143" s="25">
        <v>0</v>
      </c>
      <c r="J143" s="25">
        <v>0</v>
      </c>
      <c r="K143" s="25">
        <v>0</v>
      </c>
      <c r="L143" s="25">
        <v>0</v>
      </c>
      <c r="M143" s="25">
        <v>10</v>
      </c>
      <c r="N143" s="25">
        <v>10</v>
      </c>
      <c r="O143" s="25">
        <v>0</v>
      </c>
      <c r="P143" s="25">
        <v>0</v>
      </c>
      <c r="Q143" s="25">
        <v>5</v>
      </c>
      <c r="R143" s="25">
        <v>5</v>
      </c>
      <c r="S143" s="25">
        <v>0</v>
      </c>
      <c r="T143" s="25">
        <v>5</v>
      </c>
      <c r="U143" s="25">
        <v>10</v>
      </c>
      <c r="V143" s="25">
        <v>5</v>
      </c>
      <c r="W143" s="25">
        <v>5</v>
      </c>
      <c r="X143" s="25">
        <v>0</v>
      </c>
      <c r="Y143" s="25">
        <v>5</v>
      </c>
      <c r="Z143" s="25">
        <v>0</v>
      </c>
      <c r="AA143" s="25">
        <v>0</v>
      </c>
      <c r="AB143" s="25">
        <v>0</v>
      </c>
      <c r="AC143" s="25">
        <v>10</v>
      </c>
      <c r="AD143" s="25">
        <v>10</v>
      </c>
      <c r="AE143" s="25">
        <v>5</v>
      </c>
      <c r="AF143" s="25">
        <v>0</v>
      </c>
      <c r="AG143" s="25">
        <v>5</v>
      </c>
      <c r="AH143" s="25">
        <v>20</v>
      </c>
      <c r="AI143" s="25" t="s">
        <v>88</v>
      </c>
      <c r="AJ143" s="25" t="s">
        <v>89</v>
      </c>
    </row>
    <row r="144" spans="1:36" x14ac:dyDescent="0.25">
      <c r="A144" s="26" t="s">
        <v>374</v>
      </c>
      <c r="B144" t="s">
        <v>375</v>
      </c>
      <c r="C144" s="25">
        <v>0</v>
      </c>
      <c r="D144" s="25">
        <v>0</v>
      </c>
      <c r="E144" s="25">
        <v>9.8699999999999992</v>
      </c>
      <c r="F144" s="25">
        <v>0</v>
      </c>
      <c r="G144" s="25">
        <v>14.81</v>
      </c>
      <c r="H144" s="25">
        <v>0</v>
      </c>
      <c r="I144" s="25">
        <v>34.56</v>
      </c>
      <c r="J144" s="25">
        <v>19.75</v>
      </c>
      <c r="K144" s="25">
        <v>4.9400000000000004</v>
      </c>
      <c r="L144" s="25">
        <v>9.8699999999999992</v>
      </c>
      <c r="M144" s="25">
        <v>59.24</v>
      </c>
      <c r="N144" s="25">
        <v>34.56</v>
      </c>
      <c r="O144" s="25">
        <v>0</v>
      </c>
      <c r="P144" s="25">
        <v>9.8699999999999992</v>
      </c>
      <c r="Q144" s="25">
        <v>133.30000000000001</v>
      </c>
      <c r="R144" s="25">
        <v>103.68</v>
      </c>
      <c r="S144" s="25">
        <v>0</v>
      </c>
      <c r="T144" s="25">
        <v>24.68</v>
      </c>
      <c r="U144" s="25">
        <v>59.24</v>
      </c>
      <c r="V144" s="25">
        <v>172.79</v>
      </c>
      <c r="W144" s="25">
        <v>34.56</v>
      </c>
      <c r="X144" s="25">
        <v>19.75</v>
      </c>
      <c r="Y144" s="25">
        <v>113.55</v>
      </c>
      <c r="Z144" s="25">
        <v>29.62</v>
      </c>
      <c r="AA144" s="25">
        <v>18.07</v>
      </c>
      <c r="AB144" s="25">
        <v>9.8699999999999992</v>
      </c>
      <c r="AC144" s="25">
        <v>175.85</v>
      </c>
      <c r="AD144" s="25">
        <v>175.85</v>
      </c>
      <c r="AE144" s="25">
        <v>24.68</v>
      </c>
      <c r="AF144" s="25">
        <v>29.62</v>
      </c>
      <c r="AG144" s="25">
        <v>215.55</v>
      </c>
      <c r="AH144" s="25">
        <v>284.66000000000003</v>
      </c>
      <c r="AI144" s="25" t="s">
        <v>88</v>
      </c>
      <c r="AJ144" s="25" t="s">
        <v>89</v>
      </c>
    </row>
    <row r="145" spans="1:36" x14ac:dyDescent="0.25">
      <c r="A145" s="26" t="s">
        <v>376</v>
      </c>
      <c r="B145" t="s">
        <v>377</v>
      </c>
      <c r="C145" s="25">
        <v>0</v>
      </c>
      <c r="D145" s="25">
        <v>0</v>
      </c>
      <c r="E145" s="25">
        <v>5</v>
      </c>
      <c r="F145" s="25">
        <v>0</v>
      </c>
      <c r="G145" s="25">
        <v>15</v>
      </c>
      <c r="H145" s="25">
        <v>10</v>
      </c>
      <c r="I145" s="25">
        <v>70</v>
      </c>
      <c r="J145" s="25">
        <v>20</v>
      </c>
      <c r="K145" s="25">
        <v>40</v>
      </c>
      <c r="L145" s="25">
        <v>0</v>
      </c>
      <c r="M145" s="25">
        <v>415</v>
      </c>
      <c r="N145" s="25">
        <v>375</v>
      </c>
      <c r="O145" s="25">
        <v>20</v>
      </c>
      <c r="P145" s="25">
        <v>35</v>
      </c>
      <c r="Q145" s="25">
        <v>225</v>
      </c>
      <c r="R145" s="25">
        <v>275</v>
      </c>
      <c r="S145" s="25">
        <v>10</v>
      </c>
      <c r="T145" s="25">
        <v>55</v>
      </c>
      <c r="U145" s="25">
        <v>55</v>
      </c>
      <c r="V145" s="25">
        <v>180</v>
      </c>
      <c r="W145" s="25">
        <v>30</v>
      </c>
      <c r="X145" s="25">
        <v>0</v>
      </c>
      <c r="Y145" s="25">
        <v>105</v>
      </c>
      <c r="Z145" s="25">
        <v>5</v>
      </c>
      <c r="AA145" s="25">
        <v>30</v>
      </c>
      <c r="AB145" s="25">
        <v>30</v>
      </c>
      <c r="AC145" s="25">
        <v>280</v>
      </c>
      <c r="AD145" s="25">
        <v>250</v>
      </c>
      <c r="AE145" s="25">
        <v>35</v>
      </c>
      <c r="AF145" s="25">
        <v>30</v>
      </c>
      <c r="AG145" s="25">
        <v>660</v>
      </c>
      <c r="AH145" s="25">
        <v>780</v>
      </c>
      <c r="AI145" s="25" t="s">
        <v>88</v>
      </c>
      <c r="AJ145" s="25" t="s">
        <v>89</v>
      </c>
    </row>
    <row r="146" spans="1:36" x14ac:dyDescent="0.25">
      <c r="A146" s="26" t="s">
        <v>378</v>
      </c>
      <c r="B146" t="s">
        <v>379</v>
      </c>
      <c r="C146" s="25">
        <v>0</v>
      </c>
      <c r="D146" s="25">
        <v>0</v>
      </c>
      <c r="E146" s="25">
        <v>0</v>
      </c>
      <c r="F146" s="25">
        <v>0</v>
      </c>
      <c r="G146" s="25">
        <v>0</v>
      </c>
      <c r="H146" s="25">
        <v>0</v>
      </c>
      <c r="I146" s="25">
        <v>5</v>
      </c>
      <c r="J146" s="25">
        <v>0</v>
      </c>
      <c r="K146" s="25">
        <v>10</v>
      </c>
      <c r="L146" s="25">
        <v>5</v>
      </c>
      <c r="M146" s="25">
        <v>75</v>
      </c>
      <c r="N146" s="25">
        <v>85</v>
      </c>
      <c r="O146" s="25">
        <v>0</v>
      </c>
      <c r="P146" s="25">
        <v>10</v>
      </c>
      <c r="Q146" s="25">
        <v>45</v>
      </c>
      <c r="R146" s="25">
        <v>55</v>
      </c>
      <c r="S146" s="25">
        <v>0</v>
      </c>
      <c r="T146" s="25">
        <v>0</v>
      </c>
      <c r="U146" s="25">
        <v>20</v>
      </c>
      <c r="V146" s="25">
        <v>30</v>
      </c>
      <c r="W146" s="25">
        <v>0</v>
      </c>
      <c r="X146" s="25">
        <v>0</v>
      </c>
      <c r="Y146" s="25">
        <v>20</v>
      </c>
      <c r="Z146" s="25">
        <v>0</v>
      </c>
      <c r="AA146" s="25">
        <v>0</v>
      </c>
      <c r="AB146" s="25">
        <v>5</v>
      </c>
      <c r="AC146" s="25">
        <v>70</v>
      </c>
      <c r="AD146" s="25">
        <v>95</v>
      </c>
      <c r="AE146" s="25">
        <v>0</v>
      </c>
      <c r="AF146" s="25">
        <v>5</v>
      </c>
      <c r="AG146" s="25">
        <v>95</v>
      </c>
      <c r="AH146" s="25">
        <v>85</v>
      </c>
      <c r="AI146" s="25" t="s">
        <v>88</v>
      </c>
      <c r="AJ146" s="25" t="s">
        <v>89</v>
      </c>
    </row>
    <row r="147" spans="1:36" x14ac:dyDescent="0.25">
      <c r="A147" s="26" t="s">
        <v>380</v>
      </c>
      <c r="B147" t="s">
        <v>381</v>
      </c>
      <c r="C147" s="25">
        <v>0</v>
      </c>
      <c r="D147" s="25">
        <v>0</v>
      </c>
      <c r="E147" s="25">
        <v>10</v>
      </c>
      <c r="F147" s="25">
        <v>0</v>
      </c>
      <c r="G147" s="25">
        <v>15</v>
      </c>
      <c r="H147" s="25">
        <v>5</v>
      </c>
      <c r="I147" s="25">
        <v>80</v>
      </c>
      <c r="J147" s="25">
        <v>45</v>
      </c>
      <c r="K147" s="25">
        <v>10</v>
      </c>
      <c r="L147" s="25">
        <v>20</v>
      </c>
      <c r="M147" s="25">
        <v>310</v>
      </c>
      <c r="N147" s="25">
        <v>155</v>
      </c>
      <c r="O147" s="25">
        <v>35</v>
      </c>
      <c r="P147" s="25">
        <v>25</v>
      </c>
      <c r="Q147" s="25">
        <v>260</v>
      </c>
      <c r="R147" s="25">
        <v>365</v>
      </c>
      <c r="S147" s="25">
        <v>15</v>
      </c>
      <c r="T147" s="25">
        <v>100</v>
      </c>
      <c r="U147" s="25">
        <v>155</v>
      </c>
      <c r="V147" s="25">
        <v>455</v>
      </c>
      <c r="W147" s="25">
        <v>70</v>
      </c>
      <c r="X147" s="25">
        <v>30</v>
      </c>
      <c r="Y147" s="25">
        <v>280</v>
      </c>
      <c r="Z147" s="25">
        <v>45</v>
      </c>
      <c r="AA147" s="25">
        <v>10</v>
      </c>
      <c r="AB147" s="25">
        <v>40</v>
      </c>
      <c r="AC147" s="25">
        <v>445</v>
      </c>
      <c r="AD147" s="25">
        <v>490</v>
      </c>
      <c r="AE147" s="25">
        <v>25</v>
      </c>
      <c r="AF147" s="25">
        <v>65</v>
      </c>
      <c r="AG147" s="25">
        <v>680</v>
      </c>
      <c r="AH147" s="25">
        <v>875</v>
      </c>
      <c r="AI147" s="25" t="s">
        <v>94</v>
      </c>
      <c r="AJ147" s="25" t="s">
        <v>89</v>
      </c>
    </row>
    <row r="148" spans="1:36" x14ac:dyDescent="0.25">
      <c r="A148" s="26" t="s">
        <v>382</v>
      </c>
      <c r="B148" t="s">
        <v>383</v>
      </c>
      <c r="C148" s="25">
        <v>0</v>
      </c>
      <c r="D148" s="25">
        <v>0</v>
      </c>
      <c r="E148" s="25">
        <v>0</v>
      </c>
      <c r="F148" s="25">
        <v>0</v>
      </c>
      <c r="G148" s="25">
        <v>0</v>
      </c>
      <c r="H148" s="25">
        <v>0</v>
      </c>
      <c r="I148" s="25">
        <v>25.04</v>
      </c>
      <c r="J148" s="25">
        <v>10.02</v>
      </c>
      <c r="K148" s="25">
        <v>5.01</v>
      </c>
      <c r="L148" s="25">
        <v>0</v>
      </c>
      <c r="M148" s="25">
        <v>25.12</v>
      </c>
      <c r="N148" s="25">
        <v>10.06</v>
      </c>
      <c r="O148" s="25">
        <v>0</v>
      </c>
      <c r="P148" s="25">
        <v>5.01</v>
      </c>
      <c r="Q148" s="25">
        <v>19.989999999999998</v>
      </c>
      <c r="R148" s="25">
        <v>59.97</v>
      </c>
      <c r="S148" s="25">
        <v>0</v>
      </c>
      <c r="T148" s="25">
        <v>0</v>
      </c>
      <c r="U148" s="25">
        <v>24.92</v>
      </c>
      <c r="V148" s="25">
        <v>45.15</v>
      </c>
      <c r="W148" s="25">
        <v>0</v>
      </c>
      <c r="X148" s="25">
        <v>4.97</v>
      </c>
      <c r="Y148" s="25">
        <v>39.78</v>
      </c>
      <c r="Z148" s="25">
        <v>9.89</v>
      </c>
      <c r="AA148" s="25">
        <v>0</v>
      </c>
      <c r="AB148" s="25">
        <v>0</v>
      </c>
      <c r="AC148" s="25">
        <v>35.380000000000003</v>
      </c>
      <c r="AD148" s="25">
        <v>55.69</v>
      </c>
      <c r="AE148" s="25">
        <v>0</v>
      </c>
      <c r="AF148" s="25">
        <v>0</v>
      </c>
      <c r="AG148" s="25">
        <v>89.41</v>
      </c>
      <c r="AH148" s="25">
        <v>59.37</v>
      </c>
      <c r="AI148" s="25" t="s">
        <v>88</v>
      </c>
      <c r="AJ148" s="25" t="s">
        <v>89</v>
      </c>
    </row>
    <row r="149" spans="1:36" x14ac:dyDescent="0.25">
      <c r="A149" s="26" t="s">
        <v>384</v>
      </c>
      <c r="B149" t="s">
        <v>385</v>
      </c>
      <c r="C149" s="25">
        <v>0</v>
      </c>
      <c r="D149" s="25">
        <v>0</v>
      </c>
      <c r="E149" s="25">
        <v>0</v>
      </c>
      <c r="F149" s="25">
        <v>0</v>
      </c>
      <c r="G149" s="25">
        <v>0</v>
      </c>
      <c r="H149" s="25">
        <v>0</v>
      </c>
      <c r="I149" s="25">
        <v>31.31</v>
      </c>
      <c r="J149" s="25">
        <v>26.09</v>
      </c>
      <c r="K149" s="25">
        <v>5.22</v>
      </c>
      <c r="L149" s="25">
        <v>5.22</v>
      </c>
      <c r="M149" s="25">
        <v>88.72</v>
      </c>
      <c r="N149" s="25">
        <v>62.63</v>
      </c>
      <c r="O149" s="25">
        <v>0</v>
      </c>
      <c r="P149" s="25">
        <v>0</v>
      </c>
      <c r="Q149" s="25">
        <v>36.53</v>
      </c>
      <c r="R149" s="25">
        <v>67.84</v>
      </c>
      <c r="S149" s="25">
        <v>0</v>
      </c>
      <c r="T149" s="25">
        <v>0</v>
      </c>
      <c r="U149" s="25">
        <v>20.88</v>
      </c>
      <c r="V149" s="25">
        <v>99.16</v>
      </c>
      <c r="W149" s="25">
        <v>0</v>
      </c>
      <c r="X149" s="25">
        <v>0</v>
      </c>
      <c r="Y149" s="25">
        <v>67.84</v>
      </c>
      <c r="Z149" s="25">
        <v>10.44</v>
      </c>
      <c r="AA149" s="25">
        <v>0</v>
      </c>
      <c r="AB149" s="25">
        <v>5.22</v>
      </c>
      <c r="AC149" s="25">
        <v>99.16</v>
      </c>
      <c r="AD149" s="25">
        <v>78.28</v>
      </c>
      <c r="AE149" s="25">
        <v>0</v>
      </c>
      <c r="AF149" s="25">
        <v>0</v>
      </c>
      <c r="AG149" s="25">
        <v>135.69</v>
      </c>
      <c r="AH149" s="25">
        <v>156.56</v>
      </c>
      <c r="AI149" s="25" t="s">
        <v>94</v>
      </c>
      <c r="AJ149" s="25" t="s">
        <v>89</v>
      </c>
    </row>
    <row r="150" spans="1:36" x14ac:dyDescent="0.25">
      <c r="A150" s="26" t="s">
        <v>386</v>
      </c>
      <c r="B150" t="s">
        <v>387</v>
      </c>
      <c r="C150" s="25">
        <v>0</v>
      </c>
      <c r="D150" s="25">
        <v>0</v>
      </c>
      <c r="E150" s="25">
        <v>0</v>
      </c>
      <c r="F150" s="25">
        <v>0</v>
      </c>
      <c r="G150" s="25">
        <v>0</v>
      </c>
      <c r="H150" s="25">
        <v>0</v>
      </c>
      <c r="I150" s="25">
        <v>5.09</v>
      </c>
      <c r="J150" s="25">
        <v>0</v>
      </c>
      <c r="K150" s="25">
        <v>10.49</v>
      </c>
      <c r="L150" s="25">
        <v>5.25</v>
      </c>
      <c r="M150" s="25">
        <v>20.69</v>
      </c>
      <c r="N150" s="25">
        <v>4.93</v>
      </c>
      <c r="O150" s="25">
        <v>10.34</v>
      </c>
      <c r="P150" s="25">
        <v>4.93</v>
      </c>
      <c r="Q150" s="25">
        <v>56.63</v>
      </c>
      <c r="R150" s="25">
        <v>30.7</v>
      </c>
      <c r="S150" s="25">
        <v>0</v>
      </c>
      <c r="T150" s="25">
        <v>10.66</v>
      </c>
      <c r="U150" s="25">
        <v>15.93</v>
      </c>
      <c r="V150" s="25">
        <v>57.12</v>
      </c>
      <c r="W150" s="25">
        <v>5.25</v>
      </c>
      <c r="X150" s="25">
        <v>0</v>
      </c>
      <c r="Y150" s="25">
        <v>15.11</v>
      </c>
      <c r="Z150" s="25">
        <v>5.09</v>
      </c>
      <c r="AA150" s="25">
        <v>0</v>
      </c>
      <c r="AB150" s="25">
        <v>0</v>
      </c>
      <c r="AC150" s="25">
        <v>40.46</v>
      </c>
      <c r="AD150" s="25">
        <v>39.340000000000003</v>
      </c>
      <c r="AE150" s="25">
        <v>5.75</v>
      </c>
      <c r="AF150" s="25">
        <v>0</v>
      </c>
      <c r="AG150" s="25">
        <v>80.87</v>
      </c>
      <c r="AH150" s="25">
        <v>127.62</v>
      </c>
      <c r="AI150" s="25" t="s">
        <v>88</v>
      </c>
      <c r="AJ150" s="25" t="s">
        <v>89</v>
      </c>
    </row>
    <row r="151" spans="1:36" x14ac:dyDescent="0.25">
      <c r="A151" s="26" t="s">
        <v>388</v>
      </c>
      <c r="B151" t="s">
        <v>389</v>
      </c>
      <c r="C151" s="25">
        <v>0</v>
      </c>
      <c r="D151" s="25">
        <v>0</v>
      </c>
      <c r="E151" s="25">
        <v>0</v>
      </c>
      <c r="F151" s="25">
        <v>0</v>
      </c>
      <c r="G151" s="25">
        <v>247.96</v>
      </c>
      <c r="H151" s="25">
        <v>30.35</v>
      </c>
      <c r="I151" s="25">
        <v>304.64</v>
      </c>
      <c r="J151" s="25">
        <v>153.79</v>
      </c>
      <c r="K151" s="25">
        <v>240.3</v>
      </c>
      <c r="L151" s="25">
        <v>133.02000000000001</v>
      </c>
      <c r="M151" s="25">
        <v>1682.5</v>
      </c>
      <c r="N151" s="25">
        <v>1173.04</v>
      </c>
      <c r="O151" s="25">
        <v>364.38</v>
      </c>
      <c r="P151" s="25">
        <v>298.66000000000003</v>
      </c>
      <c r="Q151" s="25">
        <v>1845.74</v>
      </c>
      <c r="R151" s="25">
        <v>2565.73</v>
      </c>
      <c r="S151" s="25">
        <v>335.93</v>
      </c>
      <c r="T151" s="25">
        <v>956.53</v>
      </c>
      <c r="U151" s="25">
        <v>1128.2</v>
      </c>
      <c r="V151" s="25">
        <v>2810.56</v>
      </c>
      <c r="W151" s="25">
        <v>1053.3399999999999</v>
      </c>
      <c r="X151" s="25">
        <v>236.55</v>
      </c>
      <c r="Y151" s="25">
        <v>1620.89</v>
      </c>
      <c r="Z151" s="25">
        <v>270.70999999999998</v>
      </c>
      <c r="AA151" s="25">
        <v>555.14</v>
      </c>
      <c r="AB151" s="25">
        <v>429.17</v>
      </c>
      <c r="AC151" s="25">
        <v>2476.48</v>
      </c>
      <c r="AD151" s="25">
        <v>3411.23</v>
      </c>
      <c r="AE151" s="25">
        <v>580.02</v>
      </c>
      <c r="AF151" s="25">
        <v>1017.92</v>
      </c>
      <c r="AG151" s="25">
        <v>5103.3500000000004</v>
      </c>
      <c r="AH151" s="25">
        <v>5181.63</v>
      </c>
      <c r="AI151" s="25" t="s">
        <v>88</v>
      </c>
      <c r="AJ151" s="25" t="s">
        <v>89</v>
      </c>
    </row>
    <row r="152" spans="1:36" x14ac:dyDescent="0.25">
      <c r="A152" s="26" t="s">
        <v>390</v>
      </c>
      <c r="B152" t="s">
        <v>391</v>
      </c>
      <c r="C152" s="25">
        <v>0</v>
      </c>
      <c r="D152" s="25">
        <v>0</v>
      </c>
      <c r="E152" s="25">
        <v>0</v>
      </c>
      <c r="F152" s="25">
        <v>0</v>
      </c>
      <c r="G152" s="25">
        <v>45.54</v>
      </c>
      <c r="H152" s="25">
        <v>15.1</v>
      </c>
      <c r="I152" s="25">
        <v>151.31</v>
      </c>
      <c r="J152" s="25">
        <v>15.17</v>
      </c>
      <c r="K152" s="25">
        <v>35.33</v>
      </c>
      <c r="L152" s="25">
        <v>25.2</v>
      </c>
      <c r="M152" s="25">
        <v>388.22</v>
      </c>
      <c r="N152" s="25">
        <v>277.06</v>
      </c>
      <c r="O152" s="25">
        <v>85.75</v>
      </c>
      <c r="P152" s="25">
        <v>91.01</v>
      </c>
      <c r="Q152" s="25">
        <v>595.03</v>
      </c>
      <c r="R152" s="25">
        <v>726.15</v>
      </c>
      <c r="S152" s="25">
        <v>81.040000000000006</v>
      </c>
      <c r="T152" s="25">
        <v>338.52</v>
      </c>
      <c r="U152" s="25">
        <v>352.93</v>
      </c>
      <c r="V152" s="25">
        <v>953.18</v>
      </c>
      <c r="W152" s="25">
        <v>237.64</v>
      </c>
      <c r="X152" s="25">
        <v>60.66</v>
      </c>
      <c r="Y152" s="25">
        <v>666.1</v>
      </c>
      <c r="Z152" s="25">
        <v>115.97</v>
      </c>
      <c r="AA152" s="25">
        <v>115.76</v>
      </c>
      <c r="AB152" s="25">
        <v>120.65</v>
      </c>
      <c r="AC152" s="25">
        <v>562.67999999999995</v>
      </c>
      <c r="AD152" s="25">
        <v>672.46</v>
      </c>
      <c r="AE152" s="25">
        <v>80.989999999999995</v>
      </c>
      <c r="AF152" s="25">
        <v>171.95</v>
      </c>
      <c r="AG152" s="25">
        <v>1729.23</v>
      </c>
      <c r="AH152" s="25">
        <v>1936.43</v>
      </c>
      <c r="AI152" s="25" t="s">
        <v>88</v>
      </c>
      <c r="AJ152" s="25" t="s">
        <v>89</v>
      </c>
    </row>
    <row r="153" spans="1:36" x14ac:dyDescent="0.25">
      <c r="A153" s="26" t="s">
        <v>392</v>
      </c>
      <c r="B153" t="s">
        <v>393</v>
      </c>
      <c r="C153" s="25">
        <v>0</v>
      </c>
      <c r="D153" s="25">
        <v>0</v>
      </c>
      <c r="E153" s="25">
        <v>0</v>
      </c>
      <c r="F153" s="25">
        <v>0</v>
      </c>
      <c r="G153" s="25">
        <v>30</v>
      </c>
      <c r="H153" s="25">
        <v>5</v>
      </c>
      <c r="I153" s="25">
        <v>120</v>
      </c>
      <c r="J153" s="25">
        <v>30</v>
      </c>
      <c r="K153" s="25">
        <v>65</v>
      </c>
      <c r="L153" s="25">
        <v>30</v>
      </c>
      <c r="M153" s="25">
        <v>635</v>
      </c>
      <c r="N153" s="25">
        <v>385</v>
      </c>
      <c r="O153" s="25">
        <v>35</v>
      </c>
      <c r="P153" s="25">
        <v>60</v>
      </c>
      <c r="Q153" s="25">
        <v>395</v>
      </c>
      <c r="R153" s="25">
        <v>620</v>
      </c>
      <c r="S153" s="25">
        <v>50</v>
      </c>
      <c r="T153" s="25">
        <v>75</v>
      </c>
      <c r="U153" s="25">
        <v>230</v>
      </c>
      <c r="V153" s="25">
        <v>550</v>
      </c>
      <c r="W153" s="25">
        <v>65</v>
      </c>
      <c r="X153" s="25">
        <v>20</v>
      </c>
      <c r="Y153" s="25">
        <v>210</v>
      </c>
      <c r="Z153" s="25">
        <v>45</v>
      </c>
      <c r="AA153" s="25">
        <v>25</v>
      </c>
      <c r="AB153" s="25">
        <v>50</v>
      </c>
      <c r="AC153" s="25">
        <v>600</v>
      </c>
      <c r="AD153" s="25">
        <v>760</v>
      </c>
      <c r="AE153" s="25">
        <v>25</v>
      </c>
      <c r="AF153" s="25">
        <v>60</v>
      </c>
      <c r="AG153" s="25">
        <v>1095</v>
      </c>
      <c r="AH153" s="25">
        <v>1245</v>
      </c>
      <c r="AI153" s="25" t="s">
        <v>88</v>
      </c>
      <c r="AJ153" s="25" t="s">
        <v>89</v>
      </c>
    </row>
    <row r="154" spans="1:36" x14ac:dyDescent="0.25">
      <c r="A154" s="26" t="s">
        <v>394</v>
      </c>
      <c r="B154" t="s">
        <v>395</v>
      </c>
      <c r="C154" s="25">
        <v>0</v>
      </c>
      <c r="D154" s="25">
        <v>0</v>
      </c>
      <c r="E154" s="25">
        <v>0</v>
      </c>
      <c r="F154" s="25">
        <v>0</v>
      </c>
      <c r="G154" s="25">
        <v>0</v>
      </c>
      <c r="H154" s="25">
        <v>0</v>
      </c>
      <c r="I154" s="25">
        <v>10.210000000000001</v>
      </c>
      <c r="J154" s="25">
        <v>0</v>
      </c>
      <c r="K154" s="25">
        <v>0</v>
      </c>
      <c r="L154" s="25">
        <v>0</v>
      </c>
      <c r="M154" s="25">
        <v>30.2</v>
      </c>
      <c r="N154" s="25">
        <v>20.170000000000002</v>
      </c>
      <c r="O154" s="25">
        <v>0</v>
      </c>
      <c r="P154" s="25">
        <v>0</v>
      </c>
      <c r="Q154" s="25">
        <v>45.28</v>
      </c>
      <c r="R154" s="25">
        <v>40.46</v>
      </c>
      <c r="S154" s="25">
        <v>0</v>
      </c>
      <c r="T154" s="25">
        <v>0</v>
      </c>
      <c r="U154" s="25">
        <v>10.11</v>
      </c>
      <c r="V154" s="25">
        <v>30.28</v>
      </c>
      <c r="W154" s="25">
        <v>0</v>
      </c>
      <c r="X154" s="25">
        <v>0</v>
      </c>
      <c r="Y154" s="25">
        <v>15.03</v>
      </c>
      <c r="Z154" s="25">
        <v>10.06</v>
      </c>
      <c r="AA154" s="25">
        <v>0</v>
      </c>
      <c r="AB154" s="25">
        <v>0</v>
      </c>
      <c r="AC154" s="25">
        <v>30.15</v>
      </c>
      <c r="AD154" s="25">
        <v>35.15</v>
      </c>
      <c r="AE154" s="25">
        <v>0</v>
      </c>
      <c r="AF154" s="25">
        <v>0</v>
      </c>
      <c r="AG154" s="25">
        <v>45.63</v>
      </c>
      <c r="AH154" s="25">
        <v>81.2</v>
      </c>
      <c r="AI154" s="25" t="s">
        <v>88</v>
      </c>
      <c r="AJ154" s="25" t="s">
        <v>89</v>
      </c>
    </row>
    <row r="155" spans="1:36" x14ac:dyDescent="0.25">
      <c r="A155" s="26" t="s">
        <v>396</v>
      </c>
      <c r="B155" t="s">
        <v>397</v>
      </c>
      <c r="C155" s="25">
        <v>0</v>
      </c>
      <c r="D155" s="25">
        <v>0</v>
      </c>
      <c r="E155" s="25">
        <v>0</v>
      </c>
      <c r="F155" s="25">
        <v>0</v>
      </c>
      <c r="G155" s="25">
        <v>0</v>
      </c>
      <c r="H155" s="25">
        <v>0</v>
      </c>
      <c r="I155" s="25">
        <v>5.32</v>
      </c>
      <c r="J155" s="25">
        <v>0</v>
      </c>
      <c r="K155" s="25">
        <v>11.21</v>
      </c>
      <c r="L155" s="25">
        <v>10.64</v>
      </c>
      <c r="M155" s="25">
        <v>10.64</v>
      </c>
      <c r="N155" s="25">
        <v>30.62</v>
      </c>
      <c r="O155" s="25">
        <v>0</v>
      </c>
      <c r="P155" s="25">
        <v>0</v>
      </c>
      <c r="Q155" s="25">
        <v>47.89</v>
      </c>
      <c r="R155" s="25">
        <v>39.6</v>
      </c>
      <c r="S155" s="25">
        <v>0</v>
      </c>
      <c r="T155" s="25">
        <v>10.45</v>
      </c>
      <c r="U155" s="25">
        <v>5.13</v>
      </c>
      <c r="V155" s="25">
        <v>37.06</v>
      </c>
      <c r="W155" s="25">
        <v>5.32</v>
      </c>
      <c r="X155" s="25">
        <v>0</v>
      </c>
      <c r="Y155" s="25">
        <v>16.149999999999999</v>
      </c>
      <c r="Z155" s="25">
        <v>0</v>
      </c>
      <c r="AA155" s="25">
        <v>16.39</v>
      </c>
      <c r="AB155" s="25">
        <v>0</v>
      </c>
      <c r="AC155" s="25">
        <v>10.09</v>
      </c>
      <c r="AD155" s="25">
        <v>14.86</v>
      </c>
      <c r="AE155" s="25">
        <v>0</v>
      </c>
      <c r="AF155" s="25">
        <v>11.44</v>
      </c>
      <c r="AG155" s="25">
        <v>60.42</v>
      </c>
      <c r="AH155" s="25">
        <v>116.59</v>
      </c>
      <c r="AI155" s="25" t="s">
        <v>94</v>
      </c>
      <c r="AJ155" s="25" t="s">
        <v>89</v>
      </c>
    </row>
    <row r="156" spans="1:36" x14ac:dyDescent="0.25">
      <c r="A156" s="26" t="s">
        <v>398</v>
      </c>
      <c r="B156" t="s">
        <v>399</v>
      </c>
      <c r="C156" s="25">
        <v>0</v>
      </c>
      <c r="D156" s="25">
        <v>0</v>
      </c>
      <c r="E156" s="25">
        <v>0</v>
      </c>
      <c r="F156" s="25">
        <v>0</v>
      </c>
      <c r="G156" s="25">
        <v>5.03</v>
      </c>
      <c r="H156" s="25">
        <v>0</v>
      </c>
      <c r="I156" s="25">
        <v>25.14</v>
      </c>
      <c r="J156" s="25">
        <v>20.12</v>
      </c>
      <c r="K156" s="25">
        <v>5.03</v>
      </c>
      <c r="L156" s="25">
        <v>5.03</v>
      </c>
      <c r="M156" s="25">
        <v>120.69</v>
      </c>
      <c r="N156" s="25">
        <v>100.58</v>
      </c>
      <c r="O156" s="25">
        <v>5.03</v>
      </c>
      <c r="P156" s="25">
        <v>10.06</v>
      </c>
      <c r="Q156" s="25">
        <v>95.55</v>
      </c>
      <c r="R156" s="25">
        <v>130.75</v>
      </c>
      <c r="S156" s="25">
        <v>5.03</v>
      </c>
      <c r="T156" s="25">
        <v>15.09</v>
      </c>
      <c r="U156" s="25">
        <v>50.29</v>
      </c>
      <c r="V156" s="25">
        <v>130.75</v>
      </c>
      <c r="W156" s="25">
        <v>10.06</v>
      </c>
      <c r="X156" s="25">
        <v>5.03</v>
      </c>
      <c r="Y156" s="25">
        <v>95.55</v>
      </c>
      <c r="Z156" s="25">
        <v>10.06</v>
      </c>
      <c r="AA156" s="25">
        <v>5.03</v>
      </c>
      <c r="AB156" s="25">
        <v>0</v>
      </c>
      <c r="AC156" s="25">
        <v>110.64</v>
      </c>
      <c r="AD156" s="25">
        <v>125.72</v>
      </c>
      <c r="AE156" s="25">
        <v>0</v>
      </c>
      <c r="AF156" s="25">
        <v>5.03</v>
      </c>
      <c r="AG156" s="25">
        <v>196.13</v>
      </c>
      <c r="AH156" s="25">
        <v>251.45</v>
      </c>
      <c r="AI156" s="25" t="s">
        <v>94</v>
      </c>
      <c r="AJ156" s="25" t="s">
        <v>89</v>
      </c>
    </row>
    <row r="157" spans="1:36" x14ac:dyDescent="0.25">
      <c r="A157" s="26" t="s">
        <v>400</v>
      </c>
      <c r="B157" t="s">
        <v>401</v>
      </c>
      <c r="C157" s="25">
        <v>0</v>
      </c>
      <c r="D157" s="25">
        <v>0</v>
      </c>
      <c r="E157" s="25">
        <v>3.12</v>
      </c>
      <c r="F157" s="25">
        <v>0</v>
      </c>
      <c r="G157" s="25">
        <v>81.34</v>
      </c>
      <c r="H157" s="25">
        <v>15.59</v>
      </c>
      <c r="I157" s="25">
        <v>204.36</v>
      </c>
      <c r="J157" s="25">
        <v>59.75</v>
      </c>
      <c r="K157" s="25">
        <v>114.33</v>
      </c>
      <c r="L157" s="25">
        <v>75.709999999999994</v>
      </c>
      <c r="M157" s="25">
        <v>902.84</v>
      </c>
      <c r="N157" s="25">
        <v>596.27</v>
      </c>
      <c r="O157" s="25">
        <v>218.32</v>
      </c>
      <c r="P157" s="25">
        <v>145.55000000000001</v>
      </c>
      <c r="Q157" s="25">
        <v>1097.24</v>
      </c>
      <c r="R157" s="25">
        <v>1471.4</v>
      </c>
      <c r="S157" s="25">
        <v>154.12</v>
      </c>
      <c r="T157" s="25">
        <v>521.89</v>
      </c>
      <c r="U157" s="25">
        <v>645.29</v>
      </c>
      <c r="V157" s="25">
        <v>1641.82</v>
      </c>
      <c r="W157" s="25">
        <v>464.18</v>
      </c>
      <c r="X157" s="25">
        <v>94.52</v>
      </c>
      <c r="Y157" s="25">
        <v>923.91</v>
      </c>
      <c r="Z157" s="25">
        <v>153.41999999999999</v>
      </c>
      <c r="AA157" s="25">
        <v>172.15</v>
      </c>
      <c r="AB157" s="25">
        <v>156.4</v>
      </c>
      <c r="AC157" s="25">
        <v>1403.54</v>
      </c>
      <c r="AD157" s="25">
        <v>1873.9</v>
      </c>
      <c r="AE157" s="25">
        <v>257.25</v>
      </c>
      <c r="AF157" s="25">
        <v>536.02</v>
      </c>
      <c r="AG157" s="25">
        <v>2714.75</v>
      </c>
      <c r="AH157" s="25">
        <v>3059.03</v>
      </c>
      <c r="AI157" s="25" t="s">
        <v>88</v>
      </c>
      <c r="AJ157" s="25" t="s">
        <v>89</v>
      </c>
    </row>
    <row r="158" spans="1:36" x14ac:dyDescent="0.25">
      <c r="A158" s="26" t="s">
        <v>402</v>
      </c>
      <c r="B158" t="s">
        <v>403</v>
      </c>
      <c r="C158" s="25">
        <v>0</v>
      </c>
      <c r="D158" s="25">
        <v>0</v>
      </c>
      <c r="E158" s="25">
        <v>5.32</v>
      </c>
      <c r="F158" s="25">
        <v>0</v>
      </c>
      <c r="G158" s="25">
        <v>43.63</v>
      </c>
      <c r="H158" s="25">
        <v>9.5500000000000007</v>
      </c>
      <c r="I158" s="25">
        <v>100.31</v>
      </c>
      <c r="J158" s="25">
        <v>10.220000000000001</v>
      </c>
      <c r="K158" s="25">
        <v>97.89</v>
      </c>
      <c r="L158" s="25">
        <v>70.2</v>
      </c>
      <c r="M158" s="25">
        <v>549.82000000000005</v>
      </c>
      <c r="N158" s="25">
        <v>433.56</v>
      </c>
      <c r="O158" s="25">
        <v>144.26</v>
      </c>
      <c r="P158" s="25">
        <v>83.02</v>
      </c>
      <c r="Q158" s="25">
        <v>764.66</v>
      </c>
      <c r="R158" s="25">
        <v>1027.3900000000001</v>
      </c>
      <c r="S158" s="25">
        <v>34.36</v>
      </c>
      <c r="T158" s="25">
        <v>178.36</v>
      </c>
      <c r="U158" s="25">
        <v>428.76</v>
      </c>
      <c r="V158" s="25">
        <v>831.77</v>
      </c>
      <c r="W158" s="25">
        <v>113.69</v>
      </c>
      <c r="X158" s="25">
        <v>29.45</v>
      </c>
      <c r="Y158" s="25">
        <v>481.18</v>
      </c>
      <c r="Z158" s="25">
        <v>85.71</v>
      </c>
      <c r="AA158" s="25">
        <v>76.33</v>
      </c>
      <c r="AB158" s="25">
        <v>98.04</v>
      </c>
      <c r="AC158" s="25">
        <v>470.31</v>
      </c>
      <c r="AD158" s="25">
        <v>675.81</v>
      </c>
      <c r="AE158" s="25">
        <v>9.56</v>
      </c>
      <c r="AF158" s="25">
        <v>191.3</v>
      </c>
      <c r="AG158" s="25">
        <v>1869.79</v>
      </c>
      <c r="AH158" s="25">
        <v>1903.03</v>
      </c>
      <c r="AI158" s="25" t="s">
        <v>88</v>
      </c>
      <c r="AJ158" s="25" t="s">
        <v>89</v>
      </c>
    </row>
    <row r="159" spans="1:36" x14ac:dyDescent="0.25">
      <c r="A159" s="26" t="s">
        <v>404</v>
      </c>
      <c r="B159" t="s">
        <v>405</v>
      </c>
      <c r="C159" s="25">
        <v>0</v>
      </c>
      <c r="D159" s="25">
        <v>0</v>
      </c>
      <c r="E159" s="25">
        <v>0</v>
      </c>
      <c r="F159" s="25">
        <v>0</v>
      </c>
      <c r="G159" s="25">
        <v>15.29</v>
      </c>
      <c r="H159" s="25">
        <v>5.07</v>
      </c>
      <c r="I159" s="25">
        <v>131.59</v>
      </c>
      <c r="J159" s="25">
        <v>40.119999999999997</v>
      </c>
      <c r="K159" s="25">
        <v>25.09</v>
      </c>
      <c r="L159" s="25">
        <v>15.02</v>
      </c>
      <c r="M159" s="25">
        <v>289.38</v>
      </c>
      <c r="N159" s="25">
        <v>178.08</v>
      </c>
      <c r="O159" s="25">
        <v>45</v>
      </c>
      <c r="P159" s="25">
        <v>30.24</v>
      </c>
      <c r="Q159" s="25">
        <v>293.27999999999997</v>
      </c>
      <c r="R159" s="25">
        <v>420.6</v>
      </c>
      <c r="S159" s="25">
        <v>25.21</v>
      </c>
      <c r="T159" s="25">
        <v>85.68</v>
      </c>
      <c r="U159" s="25">
        <v>248.13</v>
      </c>
      <c r="V159" s="25">
        <v>465.44</v>
      </c>
      <c r="W159" s="25">
        <v>40.19</v>
      </c>
      <c r="X159" s="25">
        <v>15.14</v>
      </c>
      <c r="Y159" s="25">
        <v>319.02</v>
      </c>
      <c r="Z159" s="25">
        <v>40.42</v>
      </c>
      <c r="AA159" s="25">
        <v>55.9</v>
      </c>
      <c r="AB159" s="25">
        <v>45.84</v>
      </c>
      <c r="AC159" s="25">
        <v>520.6</v>
      </c>
      <c r="AD159" s="25">
        <v>563.02</v>
      </c>
      <c r="AE159" s="25">
        <v>20.170000000000002</v>
      </c>
      <c r="AF159" s="25">
        <v>105.34</v>
      </c>
      <c r="AG159" s="25">
        <v>803</v>
      </c>
      <c r="AH159" s="25">
        <v>903.78</v>
      </c>
      <c r="AI159" s="25" t="s">
        <v>88</v>
      </c>
      <c r="AJ159" s="25" t="s">
        <v>89</v>
      </c>
    </row>
    <row r="160" spans="1:36" x14ac:dyDescent="0.25">
      <c r="A160" s="26" t="s">
        <v>406</v>
      </c>
      <c r="B160" t="s">
        <v>407</v>
      </c>
      <c r="C160" s="25">
        <v>0</v>
      </c>
      <c r="D160" s="25">
        <v>0</v>
      </c>
      <c r="E160" s="25">
        <v>5</v>
      </c>
      <c r="F160" s="25">
        <v>0</v>
      </c>
      <c r="G160" s="25">
        <v>0</v>
      </c>
      <c r="H160" s="25">
        <v>0</v>
      </c>
      <c r="I160" s="25">
        <v>15</v>
      </c>
      <c r="J160" s="25">
        <v>0</v>
      </c>
      <c r="K160" s="25">
        <v>0</v>
      </c>
      <c r="L160" s="25">
        <v>0</v>
      </c>
      <c r="M160" s="25">
        <v>15</v>
      </c>
      <c r="N160" s="25">
        <v>15</v>
      </c>
      <c r="O160" s="25">
        <v>0</v>
      </c>
      <c r="P160" s="25">
        <v>0</v>
      </c>
      <c r="Q160" s="25">
        <v>25</v>
      </c>
      <c r="R160" s="25">
        <v>5</v>
      </c>
      <c r="S160" s="25">
        <v>0</v>
      </c>
      <c r="T160" s="25">
        <v>0</v>
      </c>
      <c r="U160" s="25">
        <v>0</v>
      </c>
      <c r="V160" s="25">
        <v>35</v>
      </c>
      <c r="W160" s="25">
        <v>0</v>
      </c>
      <c r="X160" s="25">
        <v>0</v>
      </c>
      <c r="Y160" s="25">
        <v>15</v>
      </c>
      <c r="Z160" s="25">
        <v>5</v>
      </c>
      <c r="AA160" s="25">
        <v>5</v>
      </c>
      <c r="AB160" s="25">
        <v>0</v>
      </c>
      <c r="AC160" s="25">
        <v>35</v>
      </c>
      <c r="AD160" s="25">
        <v>40</v>
      </c>
      <c r="AE160" s="25">
        <v>0</v>
      </c>
      <c r="AF160" s="25">
        <v>0</v>
      </c>
      <c r="AG160" s="25">
        <v>25</v>
      </c>
      <c r="AH160" s="25">
        <v>40</v>
      </c>
      <c r="AI160" s="25" t="s">
        <v>94</v>
      </c>
      <c r="AJ160" s="25" t="s">
        <v>89</v>
      </c>
    </row>
    <row r="161" spans="1:36" x14ac:dyDescent="0.25">
      <c r="A161" s="26" t="s">
        <v>408</v>
      </c>
      <c r="B161" t="s">
        <v>409</v>
      </c>
      <c r="C161" s="25">
        <v>0</v>
      </c>
      <c r="D161" s="25">
        <v>0</v>
      </c>
      <c r="E161" s="25">
        <v>0</v>
      </c>
      <c r="F161" s="25">
        <v>0</v>
      </c>
      <c r="G161" s="25">
        <v>0</v>
      </c>
      <c r="H161" s="25">
        <v>0</v>
      </c>
      <c r="I161" s="25">
        <v>39.96</v>
      </c>
      <c r="J161" s="25">
        <v>29.97</v>
      </c>
      <c r="K161" s="25">
        <v>9.41</v>
      </c>
      <c r="L161" s="25">
        <v>5</v>
      </c>
      <c r="M161" s="25">
        <v>189.83</v>
      </c>
      <c r="N161" s="25">
        <v>149.86000000000001</v>
      </c>
      <c r="O161" s="25">
        <v>9.99</v>
      </c>
      <c r="P161" s="25">
        <v>0</v>
      </c>
      <c r="Q161" s="25">
        <v>224.79</v>
      </c>
      <c r="R161" s="25">
        <v>264.76</v>
      </c>
      <c r="S161" s="25">
        <v>0</v>
      </c>
      <c r="T161" s="25">
        <v>0</v>
      </c>
      <c r="U161" s="25">
        <v>124.89</v>
      </c>
      <c r="V161" s="25">
        <v>264.76</v>
      </c>
      <c r="W161" s="25">
        <v>19.98</v>
      </c>
      <c r="X161" s="25">
        <v>5</v>
      </c>
      <c r="Y161" s="25">
        <v>94.91</v>
      </c>
      <c r="Z161" s="25">
        <v>14.99</v>
      </c>
      <c r="AA161" s="25">
        <v>34.97</v>
      </c>
      <c r="AB161" s="25">
        <v>18.32</v>
      </c>
      <c r="AC161" s="25">
        <v>277.97000000000003</v>
      </c>
      <c r="AD161" s="25">
        <v>449.14</v>
      </c>
      <c r="AE161" s="25">
        <v>19.98</v>
      </c>
      <c r="AF161" s="25">
        <v>34.97</v>
      </c>
      <c r="AG161" s="25">
        <v>373.18</v>
      </c>
      <c r="AH161" s="25">
        <v>409.62</v>
      </c>
      <c r="AI161" s="25" t="s">
        <v>94</v>
      </c>
      <c r="AJ161" s="25" t="s">
        <v>89</v>
      </c>
    </row>
    <row r="162" spans="1:36" x14ac:dyDescent="0.25">
      <c r="A162" s="26" t="s">
        <v>410</v>
      </c>
      <c r="B162" t="s">
        <v>411</v>
      </c>
      <c r="C162" s="25">
        <v>0</v>
      </c>
      <c r="D162" s="25">
        <v>0</v>
      </c>
      <c r="E162" s="25">
        <v>0</v>
      </c>
      <c r="F162" s="25">
        <v>0</v>
      </c>
      <c r="G162" s="25">
        <v>9.92</v>
      </c>
      <c r="H162" s="25">
        <v>4.96</v>
      </c>
      <c r="I162" s="25">
        <v>24.81</v>
      </c>
      <c r="J162" s="25">
        <v>14.88</v>
      </c>
      <c r="K162" s="25">
        <v>4.96</v>
      </c>
      <c r="L162" s="25">
        <v>4.96</v>
      </c>
      <c r="M162" s="25">
        <v>69.459999999999994</v>
      </c>
      <c r="N162" s="25">
        <v>54.57</v>
      </c>
      <c r="O162" s="25">
        <v>4.96</v>
      </c>
      <c r="P162" s="25">
        <v>4.96</v>
      </c>
      <c r="Q162" s="25">
        <v>69.459999999999994</v>
      </c>
      <c r="R162" s="25">
        <v>94.26</v>
      </c>
      <c r="S162" s="25">
        <v>0</v>
      </c>
      <c r="T162" s="25">
        <v>9.92</v>
      </c>
      <c r="U162" s="25">
        <v>14.88</v>
      </c>
      <c r="V162" s="25">
        <v>44.65</v>
      </c>
      <c r="W162" s="25">
        <v>0</v>
      </c>
      <c r="X162" s="25">
        <v>0</v>
      </c>
      <c r="Y162" s="25">
        <v>19.84</v>
      </c>
      <c r="Z162" s="25">
        <v>0</v>
      </c>
      <c r="AA162" s="25">
        <v>9.92</v>
      </c>
      <c r="AB162" s="25">
        <v>9.92</v>
      </c>
      <c r="AC162" s="25">
        <v>94.26</v>
      </c>
      <c r="AD162" s="25">
        <v>109.14</v>
      </c>
      <c r="AE162" s="25">
        <v>0</v>
      </c>
      <c r="AF162" s="25">
        <v>0</v>
      </c>
      <c r="AG162" s="25">
        <v>89.3</v>
      </c>
      <c r="AH162" s="25">
        <v>124.03</v>
      </c>
      <c r="AI162" s="25" t="s">
        <v>94</v>
      </c>
      <c r="AJ162" s="25" t="s">
        <v>89</v>
      </c>
    </row>
    <row r="163" spans="1:36" x14ac:dyDescent="0.25">
      <c r="A163" s="26" t="s">
        <v>412</v>
      </c>
      <c r="B163" t="s">
        <v>413</v>
      </c>
      <c r="C163" s="25">
        <v>0</v>
      </c>
      <c r="D163" s="25">
        <v>0</v>
      </c>
      <c r="E163" s="25">
        <v>17.55</v>
      </c>
      <c r="F163" s="25">
        <v>0</v>
      </c>
      <c r="G163" s="25">
        <v>16.809999999999999</v>
      </c>
      <c r="H163" s="25">
        <v>16.600000000000001</v>
      </c>
      <c r="I163" s="25">
        <v>124.89</v>
      </c>
      <c r="J163" s="25">
        <v>33.33</v>
      </c>
      <c r="K163" s="25">
        <v>22.94</v>
      </c>
      <c r="L163" s="25">
        <v>34.04</v>
      </c>
      <c r="M163" s="25">
        <v>437.89</v>
      </c>
      <c r="N163" s="25">
        <v>311.31</v>
      </c>
      <c r="O163" s="25">
        <v>57.62</v>
      </c>
      <c r="P163" s="25">
        <v>22.83</v>
      </c>
      <c r="Q163" s="25">
        <v>482.9</v>
      </c>
      <c r="R163" s="25">
        <v>427.73</v>
      </c>
      <c r="S163" s="25">
        <v>16.39</v>
      </c>
      <c r="T163" s="25">
        <v>62.8</v>
      </c>
      <c r="U163" s="25">
        <v>103.1</v>
      </c>
      <c r="V163" s="25">
        <v>445.16</v>
      </c>
      <c r="W163" s="25">
        <v>73.37</v>
      </c>
      <c r="X163" s="25">
        <v>16.809999999999999</v>
      </c>
      <c r="Y163" s="25">
        <v>217.37</v>
      </c>
      <c r="Z163" s="25">
        <v>45.78</v>
      </c>
      <c r="AA163" s="25">
        <v>56.98</v>
      </c>
      <c r="AB163" s="25">
        <v>51.71</v>
      </c>
      <c r="AC163" s="25">
        <v>402.56</v>
      </c>
      <c r="AD163" s="25">
        <v>518.66999999999996</v>
      </c>
      <c r="AE163" s="25">
        <v>27.7</v>
      </c>
      <c r="AF163" s="25">
        <v>73.150000000000006</v>
      </c>
      <c r="AG163" s="25">
        <v>861.18</v>
      </c>
      <c r="AH163" s="25">
        <v>898.98</v>
      </c>
      <c r="AI163" s="25" t="s">
        <v>88</v>
      </c>
      <c r="AJ163" s="25" t="s">
        <v>89</v>
      </c>
    </row>
    <row r="164" spans="1:36" x14ac:dyDescent="0.25">
      <c r="A164" s="26" t="s">
        <v>414</v>
      </c>
      <c r="B164" t="s">
        <v>415</v>
      </c>
      <c r="C164" s="25">
        <v>0</v>
      </c>
      <c r="D164" s="25">
        <v>0</v>
      </c>
      <c r="E164" s="25">
        <v>0</v>
      </c>
      <c r="F164" s="25">
        <v>0</v>
      </c>
      <c r="G164" s="25">
        <v>255.17</v>
      </c>
      <c r="H164" s="25">
        <v>89.41</v>
      </c>
      <c r="I164" s="25">
        <v>394.97</v>
      </c>
      <c r="J164" s="25">
        <v>112.44</v>
      </c>
      <c r="K164" s="25">
        <v>312.16000000000003</v>
      </c>
      <c r="L164" s="25">
        <v>217.59</v>
      </c>
      <c r="M164" s="25">
        <v>2118.54</v>
      </c>
      <c r="N164" s="25">
        <v>1546.62</v>
      </c>
      <c r="O164" s="25">
        <v>386.86</v>
      </c>
      <c r="P164" s="25">
        <v>376.91</v>
      </c>
      <c r="Q164" s="25">
        <v>2065.5100000000002</v>
      </c>
      <c r="R164" s="25">
        <v>2618.75</v>
      </c>
      <c r="S164" s="25">
        <v>320.13</v>
      </c>
      <c r="T164" s="25">
        <v>1051.01</v>
      </c>
      <c r="U164" s="25">
        <v>1097.8</v>
      </c>
      <c r="V164" s="25">
        <v>2530.85</v>
      </c>
      <c r="W164" s="25">
        <v>978.99</v>
      </c>
      <c r="X164" s="25">
        <v>269.7</v>
      </c>
      <c r="Y164" s="25">
        <v>1418.05</v>
      </c>
      <c r="Z164" s="25">
        <v>200.97</v>
      </c>
      <c r="AA164" s="25">
        <v>643.86</v>
      </c>
      <c r="AB164" s="25">
        <v>484.82</v>
      </c>
      <c r="AC164" s="25">
        <v>2510.87</v>
      </c>
      <c r="AD164" s="25">
        <v>3123.94</v>
      </c>
      <c r="AE164" s="25">
        <v>519.44000000000005</v>
      </c>
      <c r="AF164" s="25">
        <v>1126.42</v>
      </c>
      <c r="AG164" s="25">
        <v>4641.4799999999996</v>
      </c>
      <c r="AH164" s="25">
        <v>5111.7700000000004</v>
      </c>
      <c r="AI164" s="25" t="s">
        <v>101</v>
      </c>
      <c r="AJ164" s="25" t="s">
        <v>89</v>
      </c>
    </row>
    <row r="165" spans="1:36" x14ac:dyDescent="0.25">
      <c r="A165" s="26" t="s">
        <v>416</v>
      </c>
      <c r="B165" t="s">
        <v>417</v>
      </c>
      <c r="C165" s="25">
        <v>0</v>
      </c>
      <c r="D165" s="25">
        <v>0</v>
      </c>
      <c r="E165" s="25">
        <v>5.03</v>
      </c>
      <c r="F165" s="25">
        <v>0</v>
      </c>
      <c r="G165" s="25">
        <v>0</v>
      </c>
      <c r="H165" s="25">
        <v>0</v>
      </c>
      <c r="I165" s="25">
        <v>50.34</v>
      </c>
      <c r="J165" s="25">
        <v>15.1</v>
      </c>
      <c r="K165" s="25">
        <v>20.14</v>
      </c>
      <c r="L165" s="25">
        <v>5.03</v>
      </c>
      <c r="M165" s="25">
        <v>140.96</v>
      </c>
      <c r="N165" s="25">
        <v>110.75</v>
      </c>
      <c r="O165" s="25">
        <v>0</v>
      </c>
      <c r="P165" s="25">
        <v>20.14</v>
      </c>
      <c r="Q165" s="25">
        <v>85.58</v>
      </c>
      <c r="R165" s="25">
        <v>75.510000000000005</v>
      </c>
      <c r="S165" s="25">
        <v>5.03</v>
      </c>
      <c r="T165" s="25">
        <v>5.03</v>
      </c>
      <c r="U165" s="25">
        <v>30.2</v>
      </c>
      <c r="V165" s="25">
        <v>135.91999999999999</v>
      </c>
      <c r="W165" s="25">
        <v>20.14</v>
      </c>
      <c r="X165" s="25">
        <v>0</v>
      </c>
      <c r="Y165" s="25">
        <v>50.34</v>
      </c>
      <c r="Z165" s="25">
        <v>10.07</v>
      </c>
      <c r="AA165" s="25">
        <v>5.03</v>
      </c>
      <c r="AB165" s="25">
        <v>5.03</v>
      </c>
      <c r="AC165" s="25">
        <v>156.06</v>
      </c>
      <c r="AD165" s="25">
        <v>176.19</v>
      </c>
      <c r="AE165" s="25">
        <v>0</v>
      </c>
      <c r="AF165" s="25">
        <v>10.07</v>
      </c>
      <c r="AG165" s="25">
        <v>206.4</v>
      </c>
      <c r="AH165" s="25">
        <v>251.71</v>
      </c>
      <c r="AI165" s="25" t="s">
        <v>94</v>
      </c>
      <c r="AJ165" s="25" t="s">
        <v>89</v>
      </c>
    </row>
    <row r="166" spans="1:36" x14ac:dyDescent="0.25">
      <c r="A166" s="26" t="s">
        <v>418</v>
      </c>
      <c r="B166" t="s">
        <v>419</v>
      </c>
      <c r="C166" s="25">
        <v>0</v>
      </c>
      <c r="D166" s="25">
        <v>0</v>
      </c>
      <c r="E166" s="25">
        <v>5.0199999999999996</v>
      </c>
      <c r="F166" s="25">
        <v>5.0199999999999996</v>
      </c>
      <c r="G166" s="25">
        <v>0</v>
      </c>
      <c r="H166" s="25">
        <v>0</v>
      </c>
      <c r="I166" s="25">
        <v>35.020000000000003</v>
      </c>
      <c r="J166" s="25">
        <v>20.059999999999999</v>
      </c>
      <c r="K166" s="25">
        <v>0</v>
      </c>
      <c r="L166" s="25">
        <v>0</v>
      </c>
      <c r="M166" s="25">
        <v>75.180000000000007</v>
      </c>
      <c r="N166" s="25">
        <v>30</v>
      </c>
      <c r="O166" s="25">
        <v>5.0199999999999996</v>
      </c>
      <c r="P166" s="25">
        <v>0</v>
      </c>
      <c r="Q166" s="25">
        <v>55.08</v>
      </c>
      <c r="R166" s="25">
        <v>120.2</v>
      </c>
      <c r="S166" s="25">
        <v>4.99</v>
      </c>
      <c r="T166" s="25">
        <v>19.91</v>
      </c>
      <c r="U166" s="25">
        <v>29.94</v>
      </c>
      <c r="V166" s="25">
        <v>100.06</v>
      </c>
      <c r="W166" s="25">
        <v>9.9700000000000006</v>
      </c>
      <c r="X166" s="25">
        <v>0</v>
      </c>
      <c r="Y166" s="25">
        <v>104.99</v>
      </c>
      <c r="Z166" s="25">
        <v>19.989999999999998</v>
      </c>
      <c r="AA166" s="25">
        <v>0</v>
      </c>
      <c r="AB166" s="25">
        <v>4.97</v>
      </c>
      <c r="AC166" s="25">
        <v>159.47</v>
      </c>
      <c r="AD166" s="25">
        <v>144.47</v>
      </c>
      <c r="AE166" s="25">
        <v>0</v>
      </c>
      <c r="AF166" s="25">
        <v>0</v>
      </c>
      <c r="AG166" s="25">
        <v>170.83</v>
      </c>
      <c r="AH166" s="25">
        <v>140.68</v>
      </c>
      <c r="AI166" s="25" t="s">
        <v>94</v>
      </c>
      <c r="AJ166" s="25" t="s">
        <v>89</v>
      </c>
    </row>
    <row r="167" spans="1:36" x14ac:dyDescent="0.25">
      <c r="A167" s="26" t="s">
        <v>420</v>
      </c>
      <c r="B167" t="s">
        <v>421</v>
      </c>
      <c r="C167" s="25">
        <v>0</v>
      </c>
      <c r="D167" s="25">
        <v>0</v>
      </c>
      <c r="E167" s="25">
        <v>0</v>
      </c>
      <c r="F167" s="25">
        <v>0</v>
      </c>
      <c r="G167" s="25">
        <v>15</v>
      </c>
      <c r="H167" s="25">
        <v>0</v>
      </c>
      <c r="I167" s="25">
        <v>120</v>
      </c>
      <c r="J167" s="25">
        <v>60</v>
      </c>
      <c r="K167" s="25">
        <v>70</v>
      </c>
      <c r="L167" s="25">
        <v>40</v>
      </c>
      <c r="M167" s="25">
        <v>470</v>
      </c>
      <c r="N167" s="25">
        <v>345</v>
      </c>
      <c r="O167" s="25">
        <v>50</v>
      </c>
      <c r="P167" s="25">
        <v>55</v>
      </c>
      <c r="Q167" s="25">
        <v>325</v>
      </c>
      <c r="R167" s="25">
        <v>585</v>
      </c>
      <c r="S167" s="25">
        <v>15</v>
      </c>
      <c r="T167" s="25">
        <v>95</v>
      </c>
      <c r="U167" s="25">
        <v>195</v>
      </c>
      <c r="V167" s="25">
        <v>440</v>
      </c>
      <c r="W167" s="25">
        <v>70</v>
      </c>
      <c r="X167" s="25">
        <v>10</v>
      </c>
      <c r="Y167" s="25">
        <v>270</v>
      </c>
      <c r="Z167" s="25">
        <v>50</v>
      </c>
      <c r="AA167" s="25">
        <v>45</v>
      </c>
      <c r="AB167" s="25">
        <v>55</v>
      </c>
      <c r="AC167" s="25">
        <v>730</v>
      </c>
      <c r="AD167" s="25">
        <v>920</v>
      </c>
      <c r="AE167" s="25">
        <v>25</v>
      </c>
      <c r="AF167" s="25">
        <v>35</v>
      </c>
      <c r="AG167" s="25">
        <v>1050</v>
      </c>
      <c r="AH167" s="25">
        <v>980</v>
      </c>
      <c r="AI167" s="25" t="s">
        <v>88</v>
      </c>
      <c r="AJ167" s="25" t="s">
        <v>89</v>
      </c>
    </row>
    <row r="168" spans="1:36" x14ac:dyDescent="0.25">
      <c r="A168" s="26" t="s">
        <v>422</v>
      </c>
      <c r="B168" t="s">
        <v>423</v>
      </c>
      <c r="C168" s="25">
        <v>0</v>
      </c>
      <c r="D168" s="25">
        <v>0</v>
      </c>
      <c r="E168" s="25">
        <v>0</v>
      </c>
      <c r="F168" s="25">
        <v>0</v>
      </c>
      <c r="G168" s="25">
        <v>0</v>
      </c>
      <c r="H168" s="25">
        <v>0</v>
      </c>
      <c r="I168" s="25">
        <v>0</v>
      </c>
      <c r="J168" s="25">
        <v>0</v>
      </c>
      <c r="K168" s="25">
        <v>0</v>
      </c>
      <c r="L168" s="25">
        <v>5</v>
      </c>
      <c r="M168" s="25">
        <v>20</v>
      </c>
      <c r="N168" s="25">
        <v>15</v>
      </c>
      <c r="O168" s="25">
        <v>0</v>
      </c>
      <c r="P168" s="25">
        <v>10</v>
      </c>
      <c r="Q168" s="25">
        <v>45</v>
      </c>
      <c r="R168" s="25">
        <v>20</v>
      </c>
      <c r="S168" s="25">
        <v>0</v>
      </c>
      <c r="T168" s="25">
        <v>20</v>
      </c>
      <c r="U168" s="25">
        <v>10</v>
      </c>
      <c r="V168" s="25">
        <v>55</v>
      </c>
      <c r="W168" s="25">
        <v>5</v>
      </c>
      <c r="X168" s="25">
        <v>0</v>
      </c>
      <c r="Y168" s="25">
        <v>10</v>
      </c>
      <c r="Z168" s="25">
        <v>5</v>
      </c>
      <c r="AA168" s="25">
        <v>0</v>
      </c>
      <c r="AB168" s="25">
        <v>0</v>
      </c>
      <c r="AC168" s="25">
        <v>30</v>
      </c>
      <c r="AD168" s="25">
        <v>30</v>
      </c>
      <c r="AE168" s="25">
        <v>5</v>
      </c>
      <c r="AF168" s="25">
        <v>15</v>
      </c>
      <c r="AG168" s="25">
        <v>50</v>
      </c>
      <c r="AH168" s="25">
        <v>80</v>
      </c>
      <c r="AI168" s="25" t="s">
        <v>94</v>
      </c>
      <c r="AJ168" s="25" t="s">
        <v>89</v>
      </c>
    </row>
    <row r="169" spans="1:36" x14ac:dyDescent="0.25">
      <c r="A169" s="26" t="s">
        <v>424</v>
      </c>
      <c r="B169" t="s">
        <v>425</v>
      </c>
      <c r="C169" s="25">
        <v>0</v>
      </c>
      <c r="D169" s="25">
        <v>0</v>
      </c>
      <c r="E169" s="25">
        <v>0</v>
      </c>
      <c r="F169" s="25">
        <v>0</v>
      </c>
      <c r="G169" s="25">
        <v>0</v>
      </c>
      <c r="H169" s="25">
        <v>0</v>
      </c>
      <c r="I169" s="25">
        <v>0</v>
      </c>
      <c r="J169" s="25">
        <v>10</v>
      </c>
      <c r="K169" s="25">
        <v>0</v>
      </c>
      <c r="L169" s="25">
        <v>0</v>
      </c>
      <c r="M169" s="25">
        <v>20</v>
      </c>
      <c r="N169" s="25">
        <v>10</v>
      </c>
      <c r="O169" s="25">
        <v>0</v>
      </c>
      <c r="P169" s="25">
        <v>5</v>
      </c>
      <c r="Q169" s="25">
        <v>5</v>
      </c>
      <c r="R169" s="25">
        <v>10</v>
      </c>
      <c r="S169" s="25">
        <v>0</v>
      </c>
      <c r="T169" s="25">
        <v>0</v>
      </c>
      <c r="U169" s="25">
        <v>0</v>
      </c>
      <c r="V169" s="25">
        <v>5</v>
      </c>
      <c r="W169" s="25">
        <v>0</v>
      </c>
      <c r="X169" s="25">
        <v>0</v>
      </c>
      <c r="Y169" s="25">
        <v>20</v>
      </c>
      <c r="Z169" s="25">
        <v>0</v>
      </c>
      <c r="AA169" s="25">
        <v>0</v>
      </c>
      <c r="AB169" s="25">
        <v>0</v>
      </c>
      <c r="AC169" s="25">
        <v>30</v>
      </c>
      <c r="AD169" s="25">
        <v>25</v>
      </c>
      <c r="AE169" s="25">
        <v>0</v>
      </c>
      <c r="AF169" s="25">
        <v>0</v>
      </c>
      <c r="AG169" s="25">
        <v>25</v>
      </c>
      <c r="AH169" s="25">
        <v>50</v>
      </c>
      <c r="AI169" s="25" t="s">
        <v>88</v>
      </c>
      <c r="AJ169" s="25" t="s">
        <v>89</v>
      </c>
    </row>
    <row r="170" spans="1:36" x14ac:dyDescent="0.25">
      <c r="A170" s="26" t="s">
        <v>426</v>
      </c>
      <c r="B170" t="s">
        <v>427</v>
      </c>
      <c r="C170" s="25">
        <v>0</v>
      </c>
      <c r="D170" s="25">
        <v>0</v>
      </c>
      <c r="E170" s="25">
        <v>0</v>
      </c>
      <c r="F170" s="25">
        <v>0</v>
      </c>
      <c r="G170" s="25">
        <v>29.06</v>
      </c>
      <c r="H170" s="25">
        <v>17.89</v>
      </c>
      <c r="I170" s="25">
        <v>41.31</v>
      </c>
      <c r="J170" s="25">
        <v>10.99</v>
      </c>
      <c r="K170" s="25">
        <v>46.41</v>
      </c>
      <c r="L170" s="25">
        <v>17.71</v>
      </c>
      <c r="M170" s="25">
        <v>282.14</v>
      </c>
      <c r="N170" s="25">
        <v>200.67</v>
      </c>
      <c r="O170" s="25">
        <v>23.61</v>
      </c>
      <c r="P170" s="25">
        <v>40.590000000000003</v>
      </c>
      <c r="Q170" s="25">
        <v>288.22000000000003</v>
      </c>
      <c r="R170" s="25">
        <v>440.78</v>
      </c>
      <c r="S170" s="25">
        <v>16.62</v>
      </c>
      <c r="T170" s="25">
        <v>81.72</v>
      </c>
      <c r="U170" s="25">
        <v>170.43</v>
      </c>
      <c r="V170" s="25">
        <v>288.95</v>
      </c>
      <c r="W170" s="25">
        <v>34.96</v>
      </c>
      <c r="X170" s="25">
        <v>11.62</v>
      </c>
      <c r="Y170" s="25">
        <v>94.35</v>
      </c>
      <c r="Z170" s="25">
        <v>5.99</v>
      </c>
      <c r="AA170" s="25">
        <v>5.64</v>
      </c>
      <c r="AB170" s="25">
        <v>5.64</v>
      </c>
      <c r="AC170" s="25">
        <v>137.93</v>
      </c>
      <c r="AD170" s="25">
        <v>204.59</v>
      </c>
      <c r="AE170" s="25">
        <v>33.159999999999997</v>
      </c>
      <c r="AF170" s="25">
        <v>61.77</v>
      </c>
      <c r="AG170" s="25">
        <v>690.51</v>
      </c>
      <c r="AH170" s="25">
        <v>733.16</v>
      </c>
      <c r="AI170" s="25" t="s">
        <v>88</v>
      </c>
      <c r="AJ170" s="25" t="s">
        <v>89</v>
      </c>
    </row>
    <row r="171" spans="1:36" x14ac:dyDescent="0.25">
      <c r="A171" s="26" t="s">
        <v>428</v>
      </c>
      <c r="B171" t="s">
        <v>429</v>
      </c>
      <c r="C171" s="25">
        <v>0</v>
      </c>
      <c r="D171" s="25">
        <v>0</v>
      </c>
      <c r="E171" s="25">
        <v>0</v>
      </c>
      <c r="F171" s="25">
        <v>0</v>
      </c>
      <c r="G171" s="25">
        <v>0</v>
      </c>
      <c r="H171" s="25">
        <v>0</v>
      </c>
      <c r="I171" s="25">
        <v>0</v>
      </c>
      <c r="J171" s="25">
        <v>4.96</v>
      </c>
      <c r="K171" s="25">
        <v>4.96</v>
      </c>
      <c r="L171" s="25">
        <v>0</v>
      </c>
      <c r="M171" s="25">
        <v>24.82</v>
      </c>
      <c r="N171" s="25">
        <v>14.89</v>
      </c>
      <c r="O171" s="25">
        <v>0</v>
      </c>
      <c r="P171" s="25">
        <v>0</v>
      </c>
      <c r="Q171" s="25">
        <v>14.89</v>
      </c>
      <c r="R171" s="25">
        <v>0</v>
      </c>
      <c r="S171" s="25">
        <v>0</v>
      </c>
      <c r="T171" s="25">
        <v>0</v>
      </c>
      <c r="U171" s="25">
        <v>9.93</v>
      </c>
      <c r="V171" s="25">
        <v>34.74</v>
      </c>
      <c r="W171" s="25">
        <v>9.93</v>
      </c>
      <c r="X171" s="25">
        <v>4.96</v>
      </c>
      <c r="Y171" s="25">
        <v>9.93</v>
      </c>
      <c r="Z171" s="25">
        <v>0</v>
      </c>
      <c r="AA171" s="25">
        <v>0</v>
      </c>
      <c r="AB171" s="25">
        <v>0</v>
      </c>
      <c r="AC171" s="25">
        <v>19.850000000000001</v>
      </c>
      <c r="AD171" s="25">
        <v>19.850000000000001</v>
      </c>
      <c r="AE171" s="25">
        <v>0</v>
      </c>
      <c r="AF171" s="25">
        <v>4.96</v>
      </c>
      <c r="AG171" s="25">
        <v>54.6</v>
      </c>
      <c r="AH171" s="25">
        <v>34.74</v>
      </c>
      <c r="AI171" s="25" t="s">
        <v>94</v>
      </c>
      <c r="AJ171" s="25" t="s">
        <v>89</v>
      </c>
    </row>
    <row r="172" spans="1:36" x14ac:dyDescent="0.25">
      <c r="A172" s="26" t="s">
        <v>430</v>
      </c>
      <c r="B172" t="s">
        <v>431</v>
      </c>
      <c r="C172" s="25">
        <v>0</v>
      </c>
      <c r="D172" s="25">
        <v>0</v>
      </c>
      <c r="E172" s="25">
        <v>0</v>
      </c>
      <c r="F172" s="25">
        <v>0</v>
      </c>
      <c r="G172" s="25">
        <v>4.9800000000000004</v>
      </c>
      <c r="H172" s="25">
        <v>4.9800000000000004</v>
      </c>
      <c r="I172" s="25">
        <v>15.01</v>
      </c>
      <c r="J172" s="25">
        <v>4.9800000000000004</v>
      </c>
      <c r="K172" s="25">
        <v>0</v>
      </c>
      <c r="L172" s="25">
        <v>0</v>
      </c>
      <c r="M172" s="25">
        <v>20.13</v>
      </c>
      <c r="N172" s="25">
        <v>10.050000000000001</v>
      </c>
      <c r="O172" s="25">
        <v>5.04</v>
      </c>
      <c r="P172" s="25">
        <v>0</v>
      </c>
      <c r="Q172" s="25">
        <v>30.01</v>
      </c>
      <c r="R172" s="25">
        <v>45.3</v>
      </c>
      <c r="S172" s="25">
        <v>0</v>
      </c>
      <c r="T172" s="25">
        <v>0</v>
      </c>
      <c r="U172" s="25">
        <v>50.31</v>
      </c>
      <c r="V172" s="25">
        <v>30.04</v>
      </c>
      <c r="W172" s="25">
        <v>0</v>
      </c>
      <c r="X172" s="25">
        <v>0</v>
      </c>
      <c r="Y172" s="25">
        <v>45.1</v>
      </c>
      <c r="Z172" s="25">
        <v>10.11</v>
      </c>
      <c r="AA172" s="25">
        <v>9.99</v>
      </c>
      <c r="AB172" s="25">
        <v>5.01</v>
      </c>
      <c r="AC172" s="25">
        <v>64.73</v>
      </c>
      <c r="AD172" s="25">
        <v>59.74</v>
      </c>
      <c r="AE172" s="25">
        <v>4.9800000000000004</v>
      </c>
      <c r="AF172" s="25">
        <v>0</v>
      </c>
      <c r="AG172" s="25">
        <v>80.599999999999994</v>
      </c>
      <c r="AH172" s="25">
        <v>95.63</v>
      </c>
      <c r="AI172" s="25" t="s">
        <v>88</v>
      </c>
      <c r="AJ172" s="25" t="s">
        <v>89</v>
      </c>
    </row>
    <row r="173" spans="1:36" x14ac:dyDescent="0.25">
      <c r="A173" s="26" t="s">
        <v>432</v>
      </c>
      <c r="B173" t="s">
        <v>433</v>
      </c>
      <c r="C173" s="25">
        <v>0</v>
      </c>
      <c r="D173" s="25">
        <v>0</v>
      </c>
      <c r="E173" s="25">
        <v>0</v>
      </c>
      <c r="F173" s="25">
        <v>0</v>
      </c>
      <c r="G173" s="25">
        <v>5</v>
      </c>
      <c r="H173" s="25">
        <v>0</v>
      </c>
      <c r="I173" s="25">
        <v>45</v>
      </c>
      <c r="J173" s="25">
        <v>15</v>
      </c>
      <c r="K173" s="25">
        <v>10</v>
      </c>
      <c r="L173" s="25">
        <v>15</v>
      </c>
      <c r="M173" s="25">
        <v>110</v>
      </c>
      <c r="N173" s="25">
        <v>75</v>
      </c>
      <c r="O173" s="25">
        <v>5</v>
      </c>
      <c r="P173" s="25">
        <v>5</v>
      </c>
      <c r="Q173" s="25">
        <v>115</v>
      </c>
      <c r="R173" s="25">
        <v>170</v>
      </c>
      <c r="S173" s="25">
        <v>0</v>
      </c>
      <c r="T173" s="25">
        <v>10</v>
      </c>
      <c r="U173" s="25">
        <v>40</v>
      </c>
      <c r="V173" s="25">
        <v>50</v>
      </c>
      <c r="W173" s="25">
        <v>5</v>
      </c>
      <c r="X173" s="25">
        <v>0</v>
      </c>
      <c r="Y173" s="25">
        <v>45</v>
      </c>
      <c r="Z173" s="25">
        <v>25</v>
      </c>
      <c r="AA173" s="25">
        <v>0</v>
      </c>
      <c r="AB173" s="25">
        <v>0</v>
      </c>
      <c r="AC173" s="25">
        <v>140</v>
      </c>
      <c r="AD173" s="25">
        <v>140</v>
      </c>
      <c r="AE173" s="25">
        <v>0</v>
      </c>
      <c r="AF173" s="25">
        <v>0</v>
      </c>
      <c r="AG173" s="25">
        <v>205</v>
      </c>
      <c r="AH173" s="25">
        <v>235</v>
      </c>
      <c r="AI173" s="25" t="s">
        <v>94</v>
      </c>
      <c r="AJ173" s="25" t="s">
        <v>89</v>
      </c>
    </row>
    <row r="174" spans="1:36" x14ac:dyDescent="0.25">
      <c r="A174" s="26" t="s">
        <v>434</v>
      </c>
      <c r="B174" t="s">
        <v>435</v>
      </c>
      <c r="C174" s="25">
        <v>0</v>
      </c>
      <c r="D174" s="25">
        <v>0</v>
      </c>
      <c r="E174" s="25">
        <v>5.01</v>
      </c>
      <c r="F174" s="25">
        <v>0</v>
      </c>
      <c r="G174" s="25">
        <v>10.029999999999999</v>
      </c>
      <c r="H174" s="25">
        <v>15.04</v>
      </c>
      <c r="I174" s="25">
        <v>45.11</v>
      </c>
      <c r="J174" s="25">
        <v>15.04</v>
      </c>
      <c r="K174" s="25">
        <v>10.029999999999999</v>
      </c>
      <c r="L174" s="25">
        <v>5.01</v>
      </c>
      <c r="M174" s="25">
        <v>180.45</v>
      </c>
      <c r="N174" s="25">
        <v>115.29</v>
      </c>
      <c r="O174" s="25">
        <v>20.05</v>
      </c>
      <c r="P174" s="25">
        <v>15.04</v>
      </c>
      <c r="Q174" s="25">
        <v>115.29</v>
      </c>
      <c r="R174" s="25">
        <v>205.51</v>
      </c>
      <c r="S174" s="25">
        <v>0</v>
      </c>
      <c r="T174" s="25">
        <v>35.090000000000003</v>
      </c>
      <c r="U174" s="25">
        <v>70.180000000000007</v>
      </c>
      <c r="V174" s="25">
        <v>175.44</v>
      </c>
      <c r="W174" s="25">
        <v>35.090000000000003</v>
      </c>
      <c r="X174" s="25">
        <v>0</v>
      </c>
      <c r="Y174" s="25">
        <v>60.15</v>
      </c>
      <c r="Z174" s="25">
        <v>20.05</v>
      </c>
      <c r="AA174" s="25">
        <v>35.090000000000003</v>
      </c>
      <c r="AB174" s="25">
        <v>10.029999999999999</v>
      </c>
      <c r="AC174" s="25">
        <v>185.46</v>
      </c>
      <c r="AD174" s="25">
        <v>230.58</v>
      </c>
      <c r="AE174" s="25">
        <v>39.78</v>
      </c>
      <c r="AF174" s="25">
        <v>29.75</v>
      </c>
      <c r="AG174" s="25">
        <v>289.76</v>
      </c>
      <c r="AH174" s="25">
        <v>319.83</v>
      </c>
      <c r="AI174" s="25" t="s">
        <v>94</v>
      </c>
      <c r="AJ174" s="25" t="s">
        <v>89</v>
      </c>
    </row>
    <row r="175" spans="1:36" x14ac:dyDescent="0.25">
      <c r="A175" s="26" t="s">
        <v>436</v>
      </c>
      <c r="B175" t="s">
        <v>437</v>
      </c>
      <c r="C175" s="25">
        <v>0</v>
      </c>
      <c r="D175" s="25">
        <v>0</v>
      </c>
      <c r="E175" s="25">
        <v>0</v>
      </c>
      <c r="F175" s="25">
        <v>0</v>
      </c>
      <c r="G175" s="25">
        <v>4.5999999999999996</v>
      </c>
      <c r="H175" s="25">
        <v>0</v>
      </c>
      <c r="I175" s="25">
        <v>30.3</v>
      </c>
      <c r="J175" s="25">
        <v>5.07</v>
      </c>
      <c r="K175" s="25">
        <v>14.9</v>
      </c>
      <c r="L175" s="25">
        <v>0</v>
      </c>
      <c r="M175" s="25">
        <v>60.3</v>
      </c>
      <c r="N175" s="25">
        <v>69.12</v>
      </c>
      <c r="O175" s="25">
        <v>0</v>
      </c>
      <c r="P175" s="25">
        <v>4.91</v>
      </c>
      <c r="Q175" s="25">
        <v>101.21</v>
      </c>
      <c r="R175" s="25">
        <v>91.21</v>
      </c>
      <c r="S175" s="25">
        <v>0</v>
      </c>
      <c r="T175" s="25">
        <v>15.07</v>
      </c>
      <c r="U175" s="25">
        <v>45.23</v>
      </c>
      <c r="V175" s="25">
        <v>106.79</v>
      </c>
      <c r="W175" s="25">
        <v>14.9</v>
      </c>
      <c r="X175" s="25">
        <v>0</v>
      </c>
      <c r="Y175" s="25">
        <v>36.71</v>
      </c>
      <c r="Z175" s="25">
        <v>10.31</v>
      </c>
      <c r="AA175" s="25">
        <v>5.24</v>
      </c>
      <c r="AB175" s="25">
        <v>5.24</v>
      </c>
      <c r="AC175" s="25">
        <v>126.66</v>
      </c>
      <c r="AD175" s="25">
        <v>175.99</v>
      </c>
      <c r="AE175" s="25">
        <v>15</v>
      </c>
      <c r="AF175" s="25">
        <v>0</v>
      </c>
      <c r="AG175" s="25">
        <v>166.71</v>
      </c>
      <c r="AH175" s="25">
        <v>171.71</v>
      </c>
      <c r="AI175" s="25" t="s">
        <v>94</v>
      </c>
      <c r="AJ175" s="25" t="s">
        <v>89</v>
      </c>
    </row>
    <row r="176" spans="1:36" x14ac:dyDescent="0.25">
      <c r="A176" s="26" t="s">
        <v>438</v>
      </c>
      <c r="B176" t="s">
        <v>439</v>
      </c>
      <c r="C176" s="25">
        <v>0</v>
      </c>
      <c r="D176" s="25">
        <v>0</v>
      </c>
      <c r="E176" s="25">
        <v>0</v>
      </c>
      <c r="F176" s="25">
        <v>0</v>
      </c>
      <c r="G176" s="25">
        <v>0</v>
      </c>
      <c r="H176" s="25">
        <v>0</v>
      </c>
      <c r="I176" s="25">
        <v>54.52</v>
      </c>
      <c r="J176" s="25">
        <v>9.91</v>
      </c>
      <c r="K176" s="25">
        <v>19.82</v>
      </c>
      <c r="L176" s="25">
        <v>9.91</v>
      </c>
      <c r="M176" s="25">
        <v>208.16</v>
      </c>
      <c r="N176" s="25">
        <v>193.29</v>
      </c>
      <c r="O176" s="25">
        <v>0</v>
      </c>
      <c r="P176" s="25">
        <v>24.78</v>
      </c>
      <c r="Q176" s="25">
        <v>113.99</v>
      </c>
      <c r="R176" s="25">
        <v>178.42</v>
      </c>
      <c r="S176" s="25">
        <v>4.96</v>
      </c>
      <c r="T176" s="25">
        <v>4.96</v>
      </c>
      <c r="U176" s="25">
        <v>39.65</v>
      </c>
      <c r="V176" s="25">
        <v>84.26</v>
      </c>
      <c r="W176" s="25">
        <v>0</v>
      </c>
      <c r="X176" s="25">
        <v>0</v>
      </c>
      <c r="Y176" s="25">
        <v>19.82</v>
      </c>
      <c r="Z176" s="25">
        <v>4.96</v>
      </c>
      <c r="AA176" s="25">
        <v>19.82</v>
      </c>
      <c r="AB176" s="25">
        <v>9.91</v>
      </c>
      <c r="AC176" s="25">
        <v>158.6</v>
      </c>
      <c r="AD176" s="25">
        <v>231.86</v>
      </c>
      <c r="AE176" s="25">
        <v>4.96</v>
      </c>
      <c r="AF176" s="25">
        <v>9.91</v>
      </c>
      <c r="AG176" s="25">
        <v>272.58999999999997</v>
      </c>
      <c r="AH176" s="25">
        <v>312.86</v>
      </c>
      <c r="AI176" s="25" t="s">
        <v>88</v>
      </c>
      <c r="AJ176" s="25" t="s">
        <v>89</v>
      </c>
    </row>
    <row r="177" spans="1:36" x14ac:dyDescent="0.25">
      <c r="A177" s="26" t="s">
        <v>440</v>
      </c>
      <c r="B177" t="s">
        <v>441</v>
      </c>
      <c r="C177" s="25">
        <v>0</v>
      </c>
      <c r="D177" s="25">
        <v>0</v>
      </c>
      <c r="E177" s="25">
        <v>5</v>
      </c>
      <c r="F177" s="25">
        <v>0</v>
      </c>
      <c r="G177" s="25">
        <v>0</v>
      </c>
      <c r="H177" s="25">
        <v>0</v>
      </c>
      <c r="I177" s="25">
        <v>40</v>
      </c>
      <c r="J177" s="25">
        <v>25</v>
      </c>
      <c r="K177" s="25">
        <v>5</v>
      </c>
      <c r="L177" s="25">
        <v>0</v>
      </c>
      <c r="M177" s="25">
        <v>35</v>
      </c>
      <c r="N177" s="25">
        <v>15</v>
      </c>
      <c r="O177" s="25">
        <v>10</v>
      </c>
      <c r="P177" s="25">
        <v>5</v>
      </c>
      <c r="Q177" s="25">
        <v>40</v>
      </c>
      <c r="R177" s="25">
        <v>75</v>
      </c>
      <c r="S177" s="25">
        <v>0</v>
      </c>
      <c r="T177" s="25">
        <v>0</v>
      </c>
      <c r="U177" s="25">
        <v>30</v>
      </c>
      <c r="V177" s="25">
        <v>75</v>
      </c>
      <c r="W177" s="25">
        <v>5</v>
      </c>
      <c r="X177" s="25">
        <v>0</v>
      </c>
      <c r="Y177" s="25">
        <v>55</v>
      </c>
      <c r="Z177" s="25">
        <v>15</v>
      </c>
      <c r="AA177" s="25">
        <v>5</v>
      </c>
      <c r="AB177" s="25">
        <v>5</v>
      </c>
      <c r="AC177" s="25">
        <v>70</v>
      </c>
      <c r="AD177" s="25">
        <v>105</v>
      </c>
      <c r="AE177" s="25">
        <v>5</v>
      </c>
      <c r="AF177" s="25">
        <v>5</v>
      </c>
      <c r="AG177" s="25">
        <v>165</v>
      </c>
      <c r="AH177" s="25">
        <v>160</v>
      </c>
      <c r="AI177" s="25" t="s">
        <v>94</v>
      </c>
      <c r="AJ177" s="25" t="s">
        <v>89</v>
      </c>
    </row>
    <row r="178" spans="1:36" x14ac:dyDescent="0.25">
      <c r="A178" s="26" t="s">
        <v>442</v>
      </c>
      <c r="B178" t="s">
        <v>443</v>
      </c>
      <c r="C178" s="25">
        <v>0</v>
      </c>
      <c r="D178" s="25">
        <v>0</v>
      </c>
      <c r="E178" s="25">
        <v>0</v>
      </c>
      <c r="F178" s="25">
        <v>0</v>
      </c>
      <c r="G178" s="25">
        <v>58.43</v>
      </c>
      <c r="H178" s="25">
        <v>28.37</v>
      </c>
      <c r="I178" s="25">
        <v>282.22000000000003</v>
      </c>
      <c r="J178" s="25">
        <v>116.65</v>
      </c>
      <c r="K178" s="25">
        <v>133.38999999999999</v>
      </c>
      <c r="L178" s="25">
        <v>111.99</v>
      </c>
      <c r="M178" s="25">
        <v>1618.69</v>
      </c>
      <c r="N178" s="25">
        <v>1233.8499999999999</v>
      </c>
      <c r="O178" s="25">
        <v>70.959999999999994</v>
      </c>
      <c r="P178" s="25">
        <v>81.599999999999994</v>
      </c>
      <c r="Q178" s="25">
        <v>515.74</v>
      </c>
      <c r="R178" s="25">
        <v>882.05</v>
      </c>
      <c r="S178" s="25">
        <v>45.19</v>
      </c>
      <c r="T178" s="25">
        <v>208.14</v>
      </c>
      <c r="U178" s="25">
        <v>273.02999999999997</v>
      </c>
      <c r="V178" s="25">
        <v>695.37</v>
      </c>
      <c r="W178" s="25">
        <v>82.21</v>
      </c>
      <c r="X178" s="25">
        <v>21.93</v>
      </c>
      <c r="Y178" s="25">
        <v>254.43</v>
      </c>
      <c r="Z178" s="25">
        <v>45.94</v>
      </c>
      <c r="AA178" s="25">
        <v>142.25</v>
      </c>
      <c r="AB178" s="25">
        <v>173.62</v>
      </c>
      <c r="AC178" s="25">
        <v>1484.74</v>
      </c>
      <c r="AD178" s="25">
        <v>1923.16</v>
      </c>
      <c r="AE178" s="25">
        <v>92.44</v>
      </c>
      <c r="AF178" s="25">
        <v>202.49</v>
      </c>
      <c r="AG178" s="25">
        <v>2151.64</v>
      </c>
      <c r="AH178" s="25">
        <v>2310.48</v>
      </c>
      <c r="AI178" s="25" t="s">
        <v>88</v>
      </c>
      <c r="AJ178" s="25" t="s">
        <v>89</v>
      </c>
    </row>
    <row r="179" spans="1:36" x14ac:dyDescent="0.25">
      <c r="A179" s="26" t="s">
        <v>444</v>
      </c>
      <c r="B179" t="s">
        <v>445</v>
      </c>
      <c r="C179" s="25">
        <v>0</v>
      </c>
      <c r="D179" s="25">
        <v>0</v>
      </c>
      <c r="E179" s="25">
        <v>25.03</v>
      </c>
      <c r="F179" s="25">
        <v>5.01</v>
      </c>
      <c r="G179" s="25">
        <v>25.03</v>
      </c>
      <c r="H179" s="25">
        <v>0</v>
      </c>
      <c r="I179" s="25">
        <v>25.03</v>
      </c>
      <c r="J179" s="25">
        <v>0</v>
      </c>
      <c r="K179" s="25">
        <v>5.01</v>
      </c>
      <c r="L179" s="25">
        <v>15.02</v>
      </c>
      <c r="M179" s="25">
        <v>170.2</v>
      </c>
      <c r="N179" s="25">
        <v>93.44</v>
      </c>
      <c r="O179" s="25">
        <v>5.01</v>
      </c>
      <c r="P179" s="25">
        <v>0</v>
      </c>
      <c r="Q179" s="25">
        <v>120.14</v>
      </c>
      <c r="R179" s="25">
        <v>263.61</v>
      </c>
      <c r="S179" s="25">
        <v>0</v>
      </c>
      <c r="T179" s="25">
        <v>10.01</v>
      </c>
      <c r="U179" s="25">
        <v>96.76</v>
      </c>
      <c r="V179" s="25">
        <v>240.28</v>
      </c>
      <c r="W179" s="25">
        <v>25.03</v>
      </c>
      <c r="X179" s="25">
        <v>5.01</v>
      </c>
      <c r="Y179" s="25">
        <v>130.15</v>
      </c>
      <c r="Z179" s="25">
        <v>15.02</v>
      </c>
      <c r="AA179" s="25">
        <v>25.03</v>
      </c>
      <c r="AB179" s="25">
        <v>15.02</v>
      </c>
      <c r="AC179" s="25">
        <v>140.16</v>
      </c>
      <c r="AD179" s="25">
        <v>185.22</v>
      </c>
      <c r="AE179" s="25">
        <v>0</v>
      </c>
      <c r="AF179" s="25">
        <v>25.03</v>
      </c>
      <c r="AG179" s="25">
        <v>355.42</v>
      </c>
      <c r="AH179" s="25">
        <v>310.36</v>
      </c>
      <c r="AI179" s="25" t="s">
        <v>94</v>
      </c>
      <c r="AJ179" s="25" t="s">
        <v>89</v>
      </c>
    </row>
    <row r="180" spans="1:36" x14ac:dyDescent="0.25">
      <c r="A180" s="26" t="s">
        <v>446</v>
      </c>
      <c r="B180" t="s">
        <v>447</v>
      </c>
      <c r="C180" s="25">
        <v>0</v>
      </c>
      <c r="D180" s="25">
        <v>0</v>
      </c>
      <c r="E180" s="25">
        <v>0</v>
      </c>
      <c r="F180" s="25">
        <v>0</v>
      </c>
      <c r="G180" s="25">
        <v>0</v>
      </c>
      <c r="H180" s="25">
        <v>0</v>
      </c>
      <c r="I180" s="25">
        <v>70.27</v>
      </c>
      <c r="J180" s="25">
        <v>15.05</v>
      </c>
      <c r="K180" s="25">
        <v>5.03</v>
      </c>
      <c r="L180" s="25">
        <v>15.08</v>
      </c>
      <c r="M180" s="25">
        <v>180.68</v>
      </c>
      <c r="N180" s="25">
        <v>105.41</v>
      </c>
      <c r="O180" s="25">
        <v>30.11</v>
      </c>
      <c r="P180" s="25">
        <v>10.02</v>
      </c>
      <c r="Q180" s="25">
        <v>155.69</v>
      </c>
      <c r="R180" s="25">
        <v>225.96</v>
      </c>
      <c r="S180" s="25">
        <v>5.01</v>
      </c>
      <c r="T180" s="25">
        <v>20.07</v>
      </c>
      <c r="U180" s="25">
        <v>90.33</v>
      </c>
      <c r="V180" s="25">
        <v>296.14999999999998</v>
      </c>
      <c r="W180" s="25">
        <v>45.16</v>
      </c>
      <c r="X180" s="25">
        <v>5.0199999999999996</v>
      </c>
      <c r="Y180" s="25">
        <v>215.98</v>
      </c>
      <c r="Z180" s="25">
        <v>40.18</v>
      </c>
      <c r="AA180" s="25">
        <v>5.03</v>
      </c>
      <c r="AB180" s="25">
        <v>5.03</v>
      </c>
      <c r="AC180" s="25">
        <v>155.82</v>
      </c>
      <c r="AD180" s="25">
        <v>196.08</v>
      </c>
      <c r="AE180" s="25">
        <v>20.05</v>
      </c>
      <c r="AF180" s="25">
        <v>30.1</v>
      </c>
      <c r="AG180" s="25">
        <v>426.35</v>
      </c>
      <c r="AH180" s="25">
        <v>436.37</v>
      </c>
      <c r="AI180" s="25" t="s">
        <v>94</v>
      </c>
      <c r="AJ180" s="25" t="s">
        <v>89</v>
      </c>
    </row>
    <row r="181" spans="1:36" x14ac:dyDescent="0.25">
      <c r="A181" s="26" t="s">
        <v>448</v>
      </c>
      <c r="B181" t="s">
        <v>449</v>
      </c>
      <c r="C181" s="25">
        <v>0</v>
      </c>
      <c r="D181" s="25">
        <v>0</v>
      </c>
      <c r="E181" s="25">
        <v>15.03</v>
      </c>
      <c r="F181" s="25">
        <v>5.01</v>
      </c>
      <c r="G181" s="25">
        <v>0</v>
      </c>
      <c r="H181" s="25">
        <v>0</v>
      </c>
      <c r="I181" s="25">
        <v>30.05</v>
      </c>
      <c r="J181" s="25">
        <v>5.01</v>
      </c>
      <c r="K181" s="25">
        <v>0</v>
      </c>
      <c r="L181" s="25">
        <v>0</v>
      </c>
      <c r="M181" s="25">
        <v>30.05</v>
      </c>
      <c r="N181" s="25">
        <v>20.03</v>
      </c>
      <c r="O181" s="25">
        <v>5.01</v>
      </c>
      <c r="P181" s="25">
        <v>5.01</v>
      </c>
      <c r="Q181" s="25">
        <v>30.05</v>
      </c>
      <c r="R181" s="25">
        <v>40.07</v>
      </c>
      <c r="S181" s="25">
        <v>0</v>
      </c>
      <c r="T181" s="25">
        <v>0</v>
      </c>
      <c r="U181" s="25">
        <v>25.04</v>
      </c>
      <c r="V181" s="25">
        <v>70.12</v>
      </c>
      <c r="W181" s="25">
        <v>0</v>
      </c>
      <c r="X181" s="25">
        <v>0</v>
      </c>
      <c r="Y181" s="25">
        <v>40.07</v>
      </c>
      <c r="Z181" s="25">
        <v>0</v>
      </c>
      <c r="AA181" s="25">
        <v>0</v>
      </c>
      <c r="AB181" s="25">
        <v>10.02</v>
      </c>
      <c r="AC181" s="25">
        <v>70.12</v>
      </c>
      <c r="AD181" s="25">
        <v>65.11</v>
      </c>
      <c r="AE181" s="25">
        <v>0</v>
      </c>
      <c r="AF181" s="25">
        <v>0</v>
      </c>
      <c r="AG181" s="25">
        <v>55.09</v>
      </c>
      <c r="AH181" s="25">
        <v>75.13</v>
      </c>
      <c r="AI181" s="25" t="s">
        <v>94</v>
      </c>
      <c r="AJ181" s="25" t="s">
        <v>89</v>
      </c>
    </row>
    <row r="182" spans="1:36" x14ac:dyDescent="0.25">
      <c r="A182" s="26" t="s">
        <v>450</v>
      </c>
      <c r="B182" t="s">
        <v>451</v>
      </c>
      <c r="C182" s="25">
        <v>0</v>
      </c>
      <c r="D182" s="25">
        <v>0</v>
      </c>
      <c r="E182" s="25">
        <v>1</v>
      </c>
      <c r="F182" s="25">
        <v>0</v>
      </c>
      <c r="G182" s="25">
        <v>220.63</v>
      </c>
      <c r="H182" s="25">
        <v>32.22</v>
      </c>
      <c r="I182" s="25">
        <v>225.04</v>
      </c>
      <c r="J182" s="25">
        <v>59.15</v>
      </c>
      <c r="K182" s="25">
        <v>246.32</v>
      </c>
      <c r="L182" s="25">
        <v>175.08</v>
      </c>
      <c r="M182" s="25">
        <v>844.07</v>
      </c>
      <c r="N182" s="25">
        <v>657.83</v>
      </c>
      <c r="O182" s="25">
        <v>433.6</v>
      </c>
      <c r="P182" s="25">
        <v>324.77999999999997</v>
      </c>
      <c r="Q182" s="25">
        <v>1278.46</v>
      </c>
      <c r="R182" s="25">
        <v>1704</v>
      </c>
      <c r="S182" s="25">
        <v>411.19</v>
      </c>
      <c r="T182" s="25">
        <v>1292.78</v>
      </c>
      <c r="U182" s="25">
        <v>1078.3900000000001</v>
      </c>
      <c r="V182" s="25">
        <v>2609.83</v>
      </c>
      <c r="W182" s="25">
        <v>1138.58</v>
      </c>
      <c r="X182" s="25">
        <v>333.3</v>
      </c>
      <c r="Y182" s="25">
        <v>1624.86</v>
      </c>
      <c r="Z182" s="25">
        <v>245.06</v>
      </c>
      <c r="AA182" s="25">
        <v>531.29999999999995</v>
      </c>
      <c r="AB182" s="25">
        <v>440.8</v>
      </c>
      <c r="AC182" s="25">
        <v>1569.04</v>
      </c>
      <c r="AD182" s="25">
        <v>2075.2800000000002</v>
      </c>
      <c r="AE182" s="25">
        <v>494</v>
      </c>
      <c r="AF182" s="25">
        <v>1230.29</v>
      </c>
      <c r="AG182" s="25">
        <v>5063.47</v>
      </c>
      <c r="AH182" s="25">
        <v>5234.66</v>
      </c>
      <c r="AI182" s="25" t="s">
        <v>88</v>
      </c>
      <c r="AJ182" s="25" t="s">
        <v>89</v>
      </c>
    </row>
    <row r="183" spans="1:36" x14ac:dyDescent="0.25">
      <c r="A183" s="26" t="s">
        <v>452</v>
      </c>
      <c r="B183" t="s">
        <v>453</v>
      </c>
      <c r="C183" s="25">
        <v>0</v>
      </c>
      <c r="D183" s="25">
        <v>0</v>
      </c>
      <c r="E183" s="25">
        <v>0</v>
      </c>
      <c r="F183" s="25">
        <v>0</v>
      </c>
      <c r="G183" s="25">
        <v>29.71</v>
      </c>
      <c r="H183" s="25">
        <v>9.9</v>
      </c>
      <c r="I183" s="25">
        <v>69.31</v>
      </c>
      <c r="J183" s="25">
        <v>19.8</v>
      </c>
      <c r="K183" s="25">
        <v>19.8</v>
      </c>
      <c r="L183" s="25">
        <v>4.95</v>
      </c>
      <c r="M183" s="25">
        <v>153.47999999999999</v>
      </c>
      <c r="N183" s="25">
        <v>168.33</v>
      </c>
      <c r="O183" s="25">
        <v>54.46</v>
      </c>
      <c r="P183" s="25">
        <v>34.659999999999997</v>
      </c>
      <c r="Q183" s="25">
        <v>302.01</v>
      </c>
      <c r="R183" s="25">
        <v>356.47</v>
      </c>
      <c r="S183" s="25">
        <v>34.659999999999997</v>
      </c>
      <c r="T183" s="25">
        <v>113.87</v>
      </c>
      <c r="U183" s="25">
        <v>232.7</v>
      </c>
      <c r="V183" s="25">
        <v>495.1</v>
      </c>
      <c r="W183" s="25">
        <v>168.33</v>
      </c>
      <c r="X183" s="25">
        <v>49.51</v>
      </c>
      <c r="Y183" s="25">
        <v>227.74</v>
      </c>
      <c r="Z183" s="25">
        <v>64.36</v>
      </c>
      <c r="AA183" s="25">
        <v>74.260000000000005</v>
      </c>
      <c r="AB183" s="25">
        <v>54.46</v>
      </c>
      <c r="AC183" s="25">
        <v>316.86</v>
      </c>
      <c r="AD183" s="25">
        <v>351.57</v>
      </c>
      <c r="AE183" s="25">
        <v>74.260000000000005</v>
      </c>
      <c r="AF183" s="25">
        <v>103.97</v>
      </c>
      <c r="AG183" s="25">
        <v>901.52</v>
      </c>
      <c r="AH183" s="25">
        <v>906.32</v>
      </c>
      <c r="AI183" s="25" t="s">
        <v>88</v>
      </c>
      <c r="AJ183" s="25" t="s">
        <v>89</v>
      </c>
    </row>
    <row r="184" spans="1:36" x14ac:dyDescent="0.25">
      <c r="A184" s="26" t="s">
        <v>454</v>
      </c>
      <c r="B184" t="s">
        <v>455</v>
      </c>
      <c r="C184" s="25">
        <v>0</v>
      </c>
      <c r="D184" s="25">
        <v>0</v>
      </c>
      <c r="E184" s="25">
        <v>0</v>
      </c>
      <c r="F184" s="25">
        <v>5</v>
      </c>
      <c r="G184" s="25">
        <v>35</v>
      </c>
      <c r="H184" s="25">
        <v>10</v>
      </c>
      <c r="I184" s="25">
        <v>175</v>
      </c>
      <c r="J184" s="25">
        <v>95</v>
      </c>
      <c r="K184" s="25">
        <v>110</v>
      </c>
      <c r="L184" s="25">
        <v>85</v>
      </c>
      <c r="M184" s="25">
        <v>885</v>
      </c>
      <c r="N184" s="25">
        <v>645</v>
      </c>
      <c r="O184" s="25">
        <v>65</v>
      </c>
      <c r="P184" s="25">
        <v>60</v>
      </c>
      <c r="Q184" s="25">
        <v>620</v>
      </c>
      <c r="R184" s="25">
        <v>865</v>
      </c>
      <c r="S184" s="25">
        <v>45</v>
      </c>
      <c r="T184" s="25">
        <v>115</v>
      </c>
      <c r="U184" s="25">
        <v>325</v>
      </c>
      <c r="V184" s="25">
        <v>685</v>
      </c>
      <c r="W184" s="25">
        <v>120</v>
      </c>
      <c r="X184" s="25">
        <v>60</v>
      </c>
      <c r="Y184" s="25">
        <v>260</v>
      </c>
      <c r="Z184" s="25">
        <v>60</v>
      </c>
      <c r="AA184" s="25">
        <v>85</v>
      </c>
      <c r="AB184" s="25">
        <v>105</v>
      </c>
      <c r="AC184" s="25">
        <v>785</v>
      </c>
      <c r="AD184" s="25">
        <v>1005</v>
      </c>
      <c r="AE184" s="25">
        <v>80</v>
      </c>
      <c r="AF184" s="25">
        <v>90</v>
      </c>
      <c r="AG184" s="25">
        <v>1450</v>
      </c>
      <c r="AH184" s="25">
        <v>1565</v>
      </c>
      <c r="AI184" s="25" t="s">
        <v>88</v>
      </c>
      <c r="AJ184" s="25" t="s">
        <v>89</v>
      </c>
    </row>
    <row r="185" spans="1:36" x14ac:dyDescent="0.25">
      <c r="A185" s="26" t="s">
        <v>456</v>
      </c>
      <c r="B185" t="s">
        <v>457</v>
      </c>
      <c r="C185" s="25">
        <v>0</v>
      </c>
      <c r="D185" s="25">
        <v>0</v>
      </c>
      <c r="E185" s="25">
        <v>4.9000000000000004</v>
      </c>
      <c r="F185" s="25">
        <v>0</v>
      </c>
      <c r="G185" s="25">
        <v>0</v>
      </c>
      <c r="H185" s="25">
        <v>0</v>
      </c>
      <c r="I185" s="25">
        <v>20.03</v>
      </c>
      <c r="J185" s="25">
        <v>9.9700000000000006</v>
      </c>
      <c r="K185" s="25">
        <v>0</v>
      </c>
      <c r="L185" s="25">
        <v>4.9800000000000004</v>
      </c>
      <c r="M185" s="25">
        <v>39.799999999999997</v>
      </c>
      <c r="N185" s="25">
        <v>19.86</v>
      </c>
      <c r="O185" s="25">
        <v>4.82</v>
      </c>
      <c r="P185" s="25">
        <v>9.8000000000000007</v>
      </c>
      <c r="Q185" s="25">
        <v>39.71</v>
      </c>
      <c r="R185" s="25">
        <v>74.36</v>
      </c>
      <c r="S185" s="25">
        <v>0</v>
      </c>
      <c r="T185" s="25">
        <v>0</v>
      </c>
      <c r="U185" s="25">
        <v>14.87</v>
      </c>
      <c r="V185" s="25">
        <v>34.549999999999997</v>
      </c>
      <c r="W185" s="25">
        <v>4.9000000000000004</v>
      </c>
      <c r="X185" s="25">
        <v>0</v>
      </c>
      <c r="Y185" s="25">
        <v>44.44</v>
      </c>
      <c r="Z185" s="25">
        <v>9.9700000000000006</v>
      </c>
      <c r="AA185" s="25">
        <v>0</v>
      </c>
      <c r="AB185" s="25">
        <v>10.14</v>
      </c>
      <c r="AC185" s="25">
        <v>111.65</v>
      </c>
      <c r="AD185" s="25">
        <v>91.54</v>
      </c>
      <c r="AE185" s="25">
        <v>0</v>
      </c>
      <c r="AF185" s="25">
        <v>4.9800000000000004</v>
      </c>
      <c r="AG185" s="25">
        <v>102.4</v>
      </c>
      <c r="AH185" s="25">
        <v>83.65</v>
      </c>
      <c r="AI185" s="25" t="s">
        <v>94</v>
      </c>
      <c r="AJ185" s="25" t="s">
        <v>89</v>
      </c>
    </row>
    <row r="186" spans="1:36" x14ac:dyDescent="0.25">
      <c r="A186" s="26" t="s">
        <v>458</v>
      </c>
      <c r="B186" t="s">
        <v>459</v>
      </c>
      <c r="C186" s="25">
        <v>0</v>
      </c>
      <c r="D186" s="25">
        <v>0</v>
      </c>
      <c r="E186" s="25">
        <v>5</v>
      </c>
      <c r="F186" s="25">
        <v>0</v>
      </c>
      <c r="G186" s="25">
        <v>41.8</v>
      </c>
      <c r="H186" s="25">
        <v>31.37</v>
      </c>
      <c r="I186" s="25">
        <v>125.27</v>
      </c>
      <c r="J186" s="25">
        <v>73</v>
      </c>
      <c r="K186" s="25">
        <v>41.63</v>
      </c>
      <c r="L186" s="25">
        <v>20.91</v>
      </c>
      <c r="M186" s="25">
        <v>470.38</v>
      </c>
      <c r="N186" s="25">
        <v>324.05</v>
      </c>
      <c r="O186" s="25">
        <v>67.69</v>
      </c>
      <c r="P186" s="25">
        <v>57.51</v>
      </c>
      <c r="Q186" s="25">
        <v>533.58000000000004</v>
      </c>
      <c r="R186" s="25">
        <v>693.74</v>
      </c>
      <c r="S186" s="25">
        <v>26.11</v>
      </c>
      <c r="T186" s="25">
        <v>119.99</v>
      </c>
      <c r="U186" s="25">
        <v>229.99</v>
      </c>
      <c r="V186" s="25">
        <v>543.71</v>
      </c>
      <c r="W186" s="25">
        <v>146.05000000000001</v>
      </c>
      <c r="X186" s="25">
        <v>31.26</v>
      </c>
      <c r="Y186" s="25">
        <v>474.59</v>
      </c>
      <c r="Z186" s="25">
        <v>88.6</v>
      </c>
      <c r="AA186" s="25">
        <v>78.72</v>
      </c>
      <c r="AB186" s="25">
        <v>57.78</v>
      </c>
      <c r="AC186" s="25">
        <v>413.29</v>
      </c>
      <c r="AD186" s="25">
        <v>486.45</v>
      </c>
      <c r="AE186" s="25">
        <v>20.77</v>
      </c>
      <c r="AF186" s="25">
        <v>62.32</v>
      </c>
      <c r="AG186" s="25">
        <v>1089.99</v>
      </c>
      <c r="AH186" s="25">
        <v>1417.7</v>
      </c>
      <c r="AI186" s="25" t="s">
        <v>88</v>
      </c>
      <c r="AJ186" s="25" t="s">
        <v>89</v>
      </c>
    </row>
    <row r="187" spans="1:36" x14ac:dyDescent="0.25">
      <c r="A187" s="26" t="s">
        <v>460</v>
      </c>
      <c r="B187" t="s">
        <v>461</v>
      </c>
      <c r="C187" s="25">
        <v>0</v>
      </c>
      <c r="D187" s="25">
        <v>0</v>
      </c>
      <c r="E187" s="25">
        <v>0</v>
      </c>
      <c r="F187" s="25">
        <v>0</v>
      </c>
      <c r="G187" s="25">
        <v>15.85</v>
      </c>
      <c r="H187" s="25">
        <v>0</v>
      </c>
      <c r="I187" s="25">
        <v>94.18</v>
      </c>
      <c r="J187" s="25">
        <v>15.23</v>
      </c>
      <c r="K187" s="25">
        <v>20.3</v>
      </c>
      <c r="L187" s="25">
        <v>5.07</v>
      </c>
      <c r="M187" s="25">
        <v>119.06</v>
      </c>
      <c r="N187" s="25">
        <v>150.13999999999999</v>
      </c>
      <c r="O187" s="25">
        <v>15.85</v>
      </c>
      <c r="P187" s="25">
        <v>31.06</v>
      </c>
      <c r="Q187" s="25">
        <v>157.07</v>
      </c>
      <c r="R187" s="25">
        <v>225.63</v>
      </c>
      <c r="S187" s="25">
        <v>10.63</v>
      </c>
      <c r="T187" s="25">
        <v>31.86</v>
      </c>
      <c r="U187" s="25">
        <v>88.01</v>
      </c>
      <c r="V187" s="25">
        <v>181.5</v>
      </c>
      <c r="W187" s="25">
        <v>16.329999999999998</v>
      </c>
      <c r="X187" s="25">
        <v>16.010000000000002</v>
      </c>
      <c r="Y187" s="25">
        <v>119.55</v>
      </c>
      <c r="Z187" s="25">
        <v>32.020000000000003</v>
      </c>
      <c r="AA187" s="25">
        <v>5.39</v>
      </c>
      <c r="AB187" s="25">
        <v>16.670000000000002</v>
      </c>
      <c r="AC187" s="25">
        <v>122.87</v>
      </c>
      <c r="AD187" s="25">
        <v>118.6</v>
      </c>
      <c r="AE187" s="25">
        <v>0</v>
      </c>
      <c r="AF187" s="25">
        <v>15.85</v>
      </c>
      <c r="AG187" s="25">
        <v>353.77</v>
      </c>
      <c r="AH187" s="25">
        <v>391.66</v>
      </c>
      <c r="AI187" s="25" t="s">
        <v>88</v>
      </c>
      <c r="AJ187" s="25" t="s">
        <v>89</v>
      </c>
    </row>
    <row r="188" spans="1:36" x14ac:dyDescent="0.25">
      <c r="A188" s="26" t="s">
        <v>462</v>
      </c>
      <c r="B188" t="s">
        <v>463</v>
      </c>
      <c r="C188" s="25">
        <v>0</v>
      </c>
      <c r="D188" s="25">
        <v>0</v>
      </c>
      <c r="E188" s="25">
        <v>0</v>
      </c>
      <c r="F188" s="25">
        <v>0</v>
      </c>
      <c r="G188" s="25">
        <v>5</v>
      </c>
      <c r="H188" s="25">
        <v>0</v>
      </c>
      <c r="I188" s="25">
        <v>130</v>
      </c>
      <c r="J188" s="25">
        <v>45</v>
      </c>
      <c r="K188" s="25">
        <v>75</v>
      </c>
      <c r="L188" s="25">
        <v>45</v>
      </c>
      <c r="M188" s="25">
        <v>575</v>
      </c>
      <c r="N188" s="25">
        <v>460</v>
      </c>
      <c r="O188" s="25">
        <v>45</v>
      </c>
      <c r="P188" s="25">
        <v>55</v>
      </c>
      <c r="Q188" s="25">
        <v>435</v>
      </c>
      <c r="R188" s="25">
        <v>595</v>
      </c>
      <c r="S188" s="25">
        <v>35</v>
      </c>
      <c r="T188" s="25">
        <v>100</v>
      </c>
      <c r="U188" s="25">
        <v>240</v>
      </c>
      <c r="V188" s="25">
        <v>435</v>
      </c>
      <c r="W188" s="25">
        <v>50</v>
      </c>
      <c r="X188" s="25">
        <v>5</v>
      </c>
      <c r="Y188" s="25">
        <v>200</v>
      </c>
      <c r="Z188" s="25">
        <v>50</v>
      </c>
      <c r="AA188" s="25">
        <v>85</v>
      </c>
      <c r="AB188" s="25">
        <v>75</v>
      </c>
      <c r="AC188" s="25">
        <v>585</v>
      </c>
      <c r="AD188" s="25">
        <v>720</v>
      </c>
      <c r="AE188" s="25">
        <v>30</v>
      </c>
      <c r="AF188" s="25">
        <v>70</v>
      </c>
      <c r="AG188" s="25">
        <v>935</v>
      </c>
      <c r="AH188" s="25">
        <v>895</v>
      </c>
      <c r="AI188" s="25" t="s">
        <v>88</v>
      </c>
      <c r="AJ188" s="25" t="s">
        <v>89</v>
      </c>
    </row>
    <row r="189" spans="1:36" x14ac:dyDescent="0.25">
      <c r="A189" s="26" t="s">
        <v>464</v>
      </c>
      <c r="B189" t="s">
        <v>465</v>
      </c>
      <c r="C189" s="25">
        <v>0</v>
      </c>
      <c r="D189" s="25">
        <v>0</v>
      </c>
      <c r="E189" s="25">
        <v>0</v>
      </c>
      <c r="F189" s="25">
        <v>5.1100000000000003</v>
      </c>
      <c r="G189" s="25">
        <v>0</v>
      </c>
      <c r="H189" s="25">
        <v>0</v>
      </c>
      <c r="I189" s="25">
        <v>20.010000000000002</v>
      </c>
      <c r="J189" s="25">
        <v>5.1100000000000003</v>
      </c>
      <c r="K189" s="25">
        <v>0</v>
      </c>
      <c r="L189" s="25">
        <v>0</v>
      </c>
      <c r="M189" s="25">
        <v>20.260000000000002</v>
      </c>
      <c r="N189" s="25">
        <v>25.31</v>
      </c>
      <c r="O189" s="25">
        <v>5.1100000000000003</v>
      </c>
      <c r="P189" s="25">
        <v>9.92</v>
      </c>
      <c r="Q189" s="25">
        <v>55.17</v>
      </c>
      <c r="R189" s="25">
        <v>55.17</v>
      </c>
      <c r="S189" s="25">
        <v>4.99</v>
      </c>
      <c r="T189" s="25">
        <v>0</v>
      </c>
      <c r="U189" s="25">
        <v>25.12</v>
      </c>
      <c r="V189" s="25">
        <v>30.11</v>
      </c>
      <c r="W189" s="25">
        <v>0</v>
      </c>
      <c r="X189" s="25">
        <v>0</v>
      </c>
      <c r="Y189" s="25">
        <v>40.270000000000003</v>
      </c>
      <c r="Z189" s="25">
        <v>5.05</v>
      </c>
      <c r="AA189" s="25">
        <v>0</v>
      </c>
      <c r="AB189" s="25">
        <v>5.17</v>
      </c>
      <c r="AC189" s="25">
        <v>76.41</v>
      </c>
      <c r="AD189" s="25">
        <v>76.650000000000006</v>
      </c>
      <c r="AE189" s="25">
        <v>0</v>
      </c>
      <c r="AF189" s="25">
        <v>0</v>
      </c>
      <c r="AG189" s="25">
        <v>84.68</v>
      </c>
      <c r="AH189" s="25">
        <v>64.540000000000006</v>
      </c>
      <c r="AI189" s="25" t="s">
        <v>94</v>
      </c>
      <c r="AJ189" s="25" t="s">
        <v>89</v>
      </c>
    </row>
    <row r="190" spans="1:36" x14ac:dyDescent="0.25">
      <c r="A190" s="26" t="s">
        <v>466</v>
      </c>
      <c r="B190" t="s">
        <v>467</v>
      </c>
      <c r="C190" s="25">
        <v>0</v>
      </c>
      <c r="D190" s="25">
        <v>0</v>
      </c>
      <c r="E190" s="25">
        <v>0</v>
      </c>
      <c r="F190" s="25">
        <v>0</v>
      </c>
      <c r="G190" s="25">
        <v>0</v>
      </c>
      <c r="H190" s="25">
        <v>0</v>
      </c>
      <c r="I190" s="25">
        <v>29.84</v>
      </c>
      <c r="J190" s="25">
        <v>4.82</v>
      </c>
      <c r="K190" s="25">
        <v>9.99</v>
      </c>
      <c r="L190" s="25">
        <v>5.03</v>
      </c>
      <c r="M190" s="25">
        <v>138.91999999999999</v>
      </c>
      <c r="N190" s="25">
        <v>104.41</v>
      </c>
      <c r="O190" s="25">
        <v>9.7799999999999994</v>
      </c>
      <c r="P190" s="25">
        <v>0</v>
      </c>
      <c r="Q190" s="25">
        <v>104.41</v>
      </c>
      <c r="R190" s="25">
        <v>104.05</v>
      </c>
      <c r="S190" s="25">
        <v>0</v>
      </c>
      <c r="T190" s="25">
        <v>4.8899999999999997</v>
      </c>
      <c r="U190" s="25">
        <v>29.77</v>
      </c>
      <c r="V190" s="25">
        <v>58.82</v>
      </c>
      <c r="W190" s="25">
        <v>5.03</v>
      </c>
      <c r="X190" s="25">
        <v>4.96</v>
      </c>
      <c r="Y190" s="25">
        <v>34.159999999999997</v>
      </c>
      <c r="Z190" s="25">
        <v>0</v>
      </c>
      <c r="AA190" s="25">
        <v>15.03</v>
      </c>
      <c r="AB190" s="25">
        <v>5.03</v>
      </c>
      <c r="AC190" s="25">
        <v>95.35</v>
      </c>
      <c r="AD190" s="25">
        <v>90.68</v>
      </c>
      <c r="AE190" s="25">
        <v>0</v>
      </c>
      <c r="AF190" s="25">
        <v>0</v>
      </c>
      <c r="AG190" s="25">
        <v>166.6</v>
      </c>
      <c r="AH190" s="25">
        <v>201.75</v>
      </c>
      <c r="AI190" s="25" t="s">
        <v>88</v>
      </c>
      <c r="AJ190" s="25" t="s">
        <v>89</v>
      </c>
    </row>
    <row r="191" spans="1:36" x14ac:dyDescent="0.25">
      <c r="A191" s="26" t="s">
        <v>468</v>
      </c>
      <c r="B191" t="s">
        <v>469</v>
      </c>
      <c r="C191" s="25">
        <v>0</v>
      </c>
      <c r="D191" s="25">
        <v>0</v>
      </c>
      <c r="E191" s="25">
        <v>0</v>
      </c>
      <c r="F191" s="25">
        <v>0</v>
      </c>
      <c r="G191" s="25">
        <v>19.98</v>
      </c>
      <c r="H191" s="25">
        <v>9.98</v>
      </c>
      <c r="I191" s="25">
        <v>79.92</v>
      </c>
      <c r="J191" s="25">
        <v>10</v>
      </c>
      <c r="K191" s="25">
        <v>0</v>
      </c>
      <c r="L191" s="25">
        <v>4.99</v>
      </c>
      <c r="M191" s="25">
        <v>299.55</v>
      </c>
      <c r="N191" s="25">
        <v>174.75</v>
      </c>
      <c r="O191" s="25">
        <v>29.95</v>
      </c>
      <c r="P191" s="25">
        <v>25</v>
      </c>
      <c r="Q191" s="25">
        <v>274.81</v>
      </c>
      <c r="R191" s="25">
        <v>439.65</v>
      </c>
      <c r="S191" s="25">
        <v>19.95</v>
      </c>
      <c r="T191" s="25">
        <v>54.79</v>
      </c>
      <c r="U191" s="25">
        <v>154.80000000000001</v>
      </c>
      <c r="V191" s="25">
        <v>379.65</v>
      </c>
      <c r="W191" s="25">
        <v>34.99</v>
      </c>
      <c r="X191" s="25">
        <v>9.9700000000000006</v>
      </c>
      <c r="Y191" s="25">
        <v>224.48</v>
      </c>
      <c r="Z191" s="25">
        <v>9.98</v>
      </c>
      <c r="AA191" s="25">
        <v>20.010000000000002</v>
      </c>
      <c r="AB191" s="25">
        <v>5.0199999999999996</v>
      </c>
      <c r="AC191" s="25">
        <v>315.3</v>
      </c>
      <c r="AD191" s="25">
        <v>450.83</v>
      </c>
      <c r="AE191" s="25">
        <v>44.91</v>
      </c>
      <c r="AF191" s="25">
        <v>39.909999999999997</v>
      </c>
      <c r="AG191" s="25">
        <v>658.13</v>
      </c>
      <c r="AH191" s="25">
        <v>772.72</v>
      </c>
      <c r="AI191" s="25" t="s">
        <v>88</v>
      </c>
      <c r="AJ191" s="25" t="s">
        <v>89</v>
      </c>
    </row>
    <row r="192" spans="1:36" x14ac:dyDescent="0.25">
      <c r="A192" s="26" t="s">
        <v>470</v>
      </c>
      <c r="B192" t="s">
        <v>471</v>
      </c>
      <c r="C192" s="25">
        <v>0</v>
      </c>
      <c r="D192" s="25">
        <v>0</v>
      </c>
      <c r="E192" s="25">
        <v>0</v>
      </c>
      <c r="F192" s="25">
        <v>0</v>
      </c>
      <c r="G192" s="25">
        <v>156.4</v>
      </c>
      <c r="H192" s="25">
        <v>43.37</v>
      </c>
      <c r="I192" s="25">
        <v>238.97</v>
      </c>
      <c r="J192" s="25">
        <v>107.74</v>
      </c>
      <c r="K192" s="25">
        <v>188.77</v>
      </c>
      <c r="L192" s="25">
        <v>135.22999999999999</v>
      </c>
      <c r="M192" s="25">
        <v>1056.6099999999999</v>
      </c>
      <c r="N192" s="25">
        <v>860.16</v>
      </c>
      <c r="O192" s="25">
        <v>371.59</v>
      </c>
      <c r="P192" s="25">
        <v>314.02</v>
      </c>
      <c r="Q192" s="25">
        <v>1424.79</v>
      </c>
      <c r="R192" s="25">
        <v>1888.12</v>
      </c>
      <c r="S192" s="25">
        <v>359.16</v>
      </c>
      <c r="T192" s="25">
        <v>1138.78</v>
      </c>
      <c r="U192" s="25">
        <v>1157.46</v>
      </c>
      <c r="V192" s="25">
        <v>2347.29</v>
      </c>
      <c r="W192" s="25">
        <v>1076.06</v>
      </c>
      <c r="X192" s="25">
        <v>329.18</v>
      </c>
      <c r="Y192" s="25">
        <v>1376.21</v>
      </c>
      <c r="Z192" s="25">
        <v>261.87</v>
      </c>
      <c r="AA192" s="25">
        <v>483.97</v>
      </c>
      <c r="AB192" s="25">
        <v>449.82</v>
      </c>
      <c r="AC192" s="25">
        <v>1801.05</v>
      </c>
      <c r="AD192" s="25">
        <v>2550.42</v>
      </c>
      <c r="AE192" s="25">
        <v>497.87</v>
      </c>
      <c r="AF192" s="25">
        <v>1071.79</v>
      </c>
      <c r="AG192" s="25">
        <v>4450.5200000000004</v>
      </c>
      <c r="AH192" s="25">
        <v>4946.21</v>
      </c>
      <c r="AI192" s="25" t="s">
        <v>101</v>
      </c>
      <c r="AJ192" s="25" t="s">
        <v>89</v>
      </c>
    </row>
    <row r="193" spans="1:36" x14ac:dyDescent="0.25">
      <c r="A193" s="26" t="s">
        <v>472</v>
      </c>
      <c r="B193" t="s">
        <v>473</v>
      </c>
      <c r="C193" s="25">
        <v>0</v>
      </c>
      <c r="D193" s="25">
        <v>0</v>
      </c>
      <c r="E193" s="25">
        <v>5.24</v>
      </c>
      <c r="F193" s="25">
        <v>0</v>
      </c>
      <c r="G193" s="25">
        <v>31.42</v>
      </c>
      <c r="H193" s="25">
        <v>10.47</v>
      </c>
      <c r="I193" s="25">
        <v>104.73</v>
      </c>
      <c r="J193" s="25">
        <v>41.89</v>
      </c>
      <c r="K193" s="25">
        <v>99.49</v>
      </c>
      <c r="L193" s="25">
        <v>47.13</v>
      </c>
      <c r="M193" s="25">
        <v>534.11</v>
      </c>
      <c r="N193" s="25">
        <v>397.96</v>
      </c>
      <c r="O193" s="25">
        <v>52.36</v>
      </c>
      <c r="P193" s="25">
        <v>62.84</v>
      </c>
      <c r="Q193" s="25">
        <v>602.17999999999995</v>
      </c>
      <c r="R193" s="25">
        <v>654.54</v>
      </c>
      <c r="S193" s="25">
        <v>57.6</v>
      </c>
      <c r="T193" s="25">
        <v>94.25</v>
      </c>
      <c r="U193" s="25">
        <v>151.85</v>
      </c>
      <c r="V193" s="25">
        <v>497.45</v>
      </c>
      <c r="W193" s="25">
        <v>83.78</v>
      </c>
      <c r="X193" s="25">
        <v>26.18</v>
      </c>
      <c r="Y193" s="25">
        <v>282.76</v>
      </c>
      <c r="Z193" s="25">
        <v>20.95</v>
      </c>
      <c r="AA193" s="25">
        <v>141.38</v>
      </c>
      <c r="AB193" s="25">
        <v>115.2</v>
      </c>
      <c r="AC193" s="25">
        <v>560.29</v>
      </c>
      <c r="AD193" s="25">
        <v>644.07000000000005</v>
      </c>
      <c r="AE193" s="25">
        <v>41.89</v>
      </c>
      <c r="AF193" s="25">
        <v>120.44</v>
      </c>
      <c r="AG193" s="25">
        <v>853.53</v>
      </c>
      <c r="AH193" s="25">
        <v>1099.6400000000001</v>
      </c>
      <c r="AI193" s="25" t="s">
        <v>88</v>
      </c>
      <c r="AJ193" s="25" t="s">
        <v>89</v>
      </c>
    </row>
    <row r="194" spans="1:36" x14ac:dyDescent="0.25">
      <c r="A194" s="26" t="s">
        <v>474</v>
      </c>
      <c r="B194" t="s">
        <v>475</v>
      </c>
      <c r="C194" s="25">
        <v>0</v>
      </c>
      <c r="D194" s="25">
        <v>0</v>
      </c>
      <c r="E194" s="25">
        <v>0</v>
      </c>
      <c r="F194" s="25">
        <v>0</v>
      </c>
      <c r="G194" s="25">
        <v>141.63</v>
      </c>
      <c r="H194" s="25">
        <v>22.26</v>
      </c>
      <c r="I194" s="25">
        <v>423.89</v>
      </c>
      <c r="J194" s="25">
        <v>137.6</v>
      </c>
      <c r="K194" s="25">
        <v>199.14</v>
      </c>
      <c r="L194" s="25">
        <v>192.25</v>
      </c>
      <c r="M194" s="25">
        <v>1964.2</v>
      </c>
      <c r="N194" s="25">
        <v>1472.56</v>
      </c>
      <c r="O194" s="25">
        <v>211.23</v>
      </c>
      <c r="P194" s="25">
        <v>208.39</v>
      </c>
      <c r="Q194" s="25">
        <v>1699.5</v>
      </c>
      <c r="R194" s="25">
        <v>2388.06</v>
      </c>
      <c r="S194" s="25">
        <v>135.19999999999999</v>
      </c>
      <c r="T194" s="25">
        <v>451.69</v>
      </c>
      <c r="U194" s="25">
        <v>961.76</v>
      </c>
      <c r="V194" s="25">
        <v>2084.23</v>
      </c>
      <c r="W194" s="25">
        <v>367.92</v>
      </c>
      <c r="X194" s="25">
        <v>91.42</v>
      </c>
      <c r="Y194" s="25">
        <v>1057.83</v>
      </c>
      <c r="Z194" s="25">
        <v>181.62</v>
      </c>
      <c r="AA194" s="25">
        <v>244.35</v>
      </c>
      <c r="AB194" s="25">
        <v>275.41000000000003</v>
      </c>
      <c r="AC194" s="25">
        <v>2134.79</v>
      </c>
      <c r="AD194" s="25">
        <v>3053.69</v>
      </c>
      <c r="AE194" s="25">
        <v>182.77</v>
      </c>
      <c r="AF194" s="25">
        <v>438.71</v>
      </c>
      <c r="AG194" s="25">
        <v>4064.49</v>
      </c>
      <c r="AH194" s="25">
        <v>4241.43</v>
      </c>
      <c r="AI194" s="25" t="s">
        <v>88</v>
      </c>
      <c r="AJ194" s="25" t="s">
        <v>89</v>
      </c>
    </row>
    <row r="195" spans="1:36" x14ac:dyDescent="0.25">
      <c r="A195" s="26" t="s">
        <v>476</v>
      </c>
      <c r="B195" t="s">
        <v>477</v>
      </c>
      <c r="C195" s="25">
        <v>3.05</v>
      </c>
      <c r="D195" s="25">
        <v>0</v>
      </c>
      <c r="E195" s="25">
        <v>0</v>
      </c>
      <c r="F195" s="25">
        <v>0</v>
      </c>
      <c r="G195" s="25">
        <v>108.21</v>
      </c>
      <c r="H195" s="25">
        <v>37.9</v>
      </c>
      <c r="I195" s="25">
        <v>138.86000000000001</v>
      </c>
      <c r="J195" s="25">
        <v>51.7</v>
      </c>
      <c r="K195" s="25">
        <v>321.86</v>
      </c>
      <c r="L195" s="25">
        <v>134.36000000000001</v>
      </c>
      <c r="M195" s="25">
        <v>946.03</v>
      </c>
      <c r="N195" s="25">
        <v>548.66999999999996</v>
      </c>
      <c r="O195" s="25">
        <v>358.53</v>
      </c>
      <c r="P195" s="25">
        <v>306.88</v>
      </c>
      <c r="Q195" s="25">
        <v>1043.72</v>
      </c>
      <c r="R195" s="25">
        <v>1194.8399999999999</v>
      </c>
      <c r="S195" s="25">
        <v>437.17</v>
      </c>
      <c r="T195" s="25">
        <v>1032.18</v>
      </c>
      <c r="U195" s="25">
        <v>806.99</v>
      </c>
      <c r="V195" s="25">
        <v>1832.65</v>
      </c>
      <c r="W195" s="25">
        <v>807.19</v>
      </c>
      <c r="X195" s="25">
        <v>239.36</v>
      </c>
      <c r="Y195" s="25">
        <v>959.65</v>
      </c>
      <c r="Z195" s="25">
        <v>221.1</v>
      </c>
      <c r="AA195" s="25">
        <v>466.39</v>
      </c>
      <c r="AB195" s="25">
        <v>366.2</v>
      </c>
      <c r="AC195" s="25">
        <v>998.71</v>
      </c>
      <c r="AD195" s="25">
        <v>1532.8</v>
      </c>
      <c r="AE195" s="25">
        <v>750.35</v>
      </c>
      <c r="AF195" s="25">
        <v>1244.76</v>
      </c>
      <c r="AG195" s="25">
        <v>4121.78</v>
      </c>
      <c r="AH195" s="25">
        <v>4195.6000000000004</v>
      </c>
      <c r="AI195" s="25" t="s">
        <v>88</v>
      </c>
      <c r="AJ195" s="25" t="s">
        <v>89</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9"/>
  <sheetViews>
    <sheetView topLeftCell="A3" zoomScaleNormal="100" workbookViewId="0">
      <selection activeCell="B20" sqref="B20:C20"/>
    </sheetView>
  </sheetViews>
  <sheetFormatPr baseColWidth="10" defaultColWidth="8.5546875" defaultRowHeight="13.2" x14ac:dyDescent="0.25"/>
  <cols>
    <col min="2" max="2" width="16.88671875" customWidth="1"/>
    <col min="3" max="3" width="73.6640625" customWidth="1"/>
  </cols>
  <sheetData>
    <row r="1" spans="1:3" ht="22.8" x14ac:dyDescent="0.4">
      <c r="A1" s="27" t="s">
        <v>478</v>
      </c>
    </row>
    <row r="3" spans="1:3" x14ac:dyDescent="0.25">
      <c r="A3" s="28" t="s">
        <v>479</v>
      </c>
    </row>
    <row r="4" spans="1:3" x14ac:dyDescent="0.25">
      <c r="A4" s="28" t="s">
        <v>480</v>
      </c>
    </row>
    <row r="5" spans="1:3" x14ac:dyDescent="0.25">
      <c r="A5" t="s">
        <v>481</v>
      </c>
    </row>
    <row r="9" spans="1:3" x14ac:dyDescent="0.25">
      <c r="B9" t="s">
        <v>53</v>
      </c>
      <c r="C9" t="s">
        <v>482</v>
      </c>
    </row>
    <row r="10" spans="1:3" ht="12.6" customHeight="1" x14ac:dyDescent="0.25">
      <c r="B10" t="s">
        <v>54</v>
      </c>
      <c r="C10" t="s">
        <v>483</v>
      </c>
    </row>
    <row r="11" spans="1:3" x14ac:dyDescent="0.25">
      <c r="B11" t="s">
        <v>16</v>
      </c>
      <c r="C11" t="s">
        <v>484</v>
      </c>
    </row>
    <row r="12" spans="1:3" x14ac:dyDescent="0.25">
      <c r="B12" t="s">
        <v>16</v>
      </c>
      <c r="C12" t="s">
        <v>485</v>
      </c>
    </row>
    <row r="13" spans="1:3" x14ac:dyDescent="0.25">
      <c r="B13" t="s">
        <v>486</v>
      </c>
      <c r="C13" t="s">
        <v>487</v>
      </c>
    </row>
    <row r="14" spans="1:3" x14ac:dyDescent="0.25">
      <c r="B14" t="s">
        <v>488</v>
      </c>
      <c r="C14" t="s">
        <v>489</v>
      </c>
    </row>
    <row r="15" spans="1:3" x14ac:dyDescent="0.25">
      <c r="B15" t="s">
        <v>490</v>
      </c>
      <c r="C15" t="s">
        <v>491</v>
      </c>
    </row>
    <row r="16" spans="1:3" x14ac:dyDescent="0.25">
      <c r="B16" t="s">
        <v>492</v>
      </c>
      <c r="C16" t="s">
        <v>493</v>
      </c>
    </row>
    <row r="17" spans="2:3" x14ac:dyDescent="0.25">
      <c r="B17" t="s">
        <v>494</v>
      </c>
      <c r="C17" t="s">
        <v>495</v>
      </c>
    </row>
    <row r="18" spans="2:3" x14ac:dyDescent="0.25">
      <c r="B18" t="s">
        <v>496</v>
      </c>
      <c r="C18" t="s">
        <v>497</v>
      </c>
    </row>
    <row r="19" spans="2:3" x14ac:dyDescent="0.25">
      <c r="B19" t="s">
        <v>498</v>
      </c>
      <c r="C19" t="s">
        <v>499</v>
      </c>
    </row>
    <row r="20" spans="2:3" x14ac:dyDescent="0.25">
      <c r="B20" t="s">
        <v>500</v>
      </c>
      <c r="C20" t="s">
        <v>501</v>
      </c>
    </row>
    <row r="21" spans="2:3" x14ac:dyDescent="0.25">
      <c r="B21" t="s">
        <v>502</v>
      </c>
      <c r="C21" t="s">
        <v>503</v>
      </c>
    </row>
    <row r="22" spans="2:3" x14ac:dyDescent="0.25">
      <c r="B22" t="s">
        <v>504</v>
      </c>
      <c r="C22" t="s">
        <v>505</v>
      </c>
    </row>
    <row r="23" spans="2:3" x14ac:dyDescent="0.25">
      <c r="B23" t="s">
        <v>506</v>
      </c>
      <c r="C23" t="s">
        <v>507</v>
      </c>
    </row>
    <row r="24" spans="2:3" x14ac:dyDescent="0.25">
      <c r="B24" t="s">
        <v>508</v>
      </c>
      <c r="C24" t="s">
        <v>509</v>
      </c>
    </row>
    <row r="25" spans="2:3" x14ac:dyDescent="0.25">
      <c r="B25" t="s">
        <v>18</v>
      </c>
      <c r="C25" t="s">
        <v>510</v>
      </c>
    </row>
    <row r="26" spans="2:3" x14ac:dyDescent="0.25">
      <c r="B26" s="29" t="s">
        <v>19</v>
      </c>
      <c r="C26" t="s">
        <v>511</v>
      </c>
    </row>
    <row r="28" spans="2:3" x14ac:dyDescent="0.25">
      <c r="B28" s="28" t="s">
        <v>512</v>
      </c>
    </row>
    <row r="29" spans="2:3" x14ac:dyDescent="0.25">
      <c r="B29" s="28" t="s">
        <v>513</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3ABC-180C-4B99-94FA-4FD3042B4D45}">
  <dimension ref="A1:AS203"/>
  <sheetViews>
    <sheetView topLeftCell="AD179" zoomScaleNormal="100" workbookViewId="0">
      <selection activeCell="AO1" activeCellId="1" sqref="B1:B195 AO1:AO195"/>
    </sheetView>
  </sheetViews>
  <sheetFormatPr baseColWidth="10" defaultColWidth="8.5546875" defaultRowHeight="13.2" x14ac:dyDescent="0.25"/>
  <cols>
    <col min="1" max="1" width="9.44140625" customWidth="1"/>
    <col min="2" max="2" width="24.6640625" customWidth="1"/>
    <col min="3" max="34" width="9.44140625" style="25" customWidth="1"/>
    <col min="35" max="35" width="16.5546875" style="25" customWidth="1"/>
    <col min="36" max="36" width="7.109375" style="25" customWidth="1"/>
    <col min="37" max="37" width="13.109375" style="32" customWidth="1"/>
    <col min="38" max="38" width="14.44140625" style="33" customWidth="1"/>
    <col min="39" max="39" width="17.77734375" style="33" customWidth="1"/>
    <col min="40" max="40" width="15.77734375" style="33" customWidth="1"/>
    <col min="41" max="41" width="16.77734375" customWidth="1"/>
    <col min="42" max="42" width="20.109375" style="33" customWidth="1"/>
    <col min="43" max="43" width="24.33203125" style="33" customWidth="1"/>
    <col min="44" max="44" width="12" style="33" customWidth="1"/>
    <col min="45" max="45" width="13.6640625" customWidth="1"/>
    <col min="957" max="1024" width="11.5546875" customWidth="1"/>
  </cols>
  <sheetData>
    <row r="1" spans="1:45" x14ac:dyDescent="0.25">
      <c r="A1" t="s">
        <v>53</v>
      </c>
      <c r="B1" t="s">
        <v>54</v>
      </c>
      <c r="C1" s="25" t="s">
        <v>16</v>
      </c>
      <c r="D1" s="25" t="s">
        <v>17</v>
      </c>
      <c r="E1" s="25" t="s">
        <v>55</v>
      </c>
      <c r="F1" s="25" t="s">
        <v>56</v>
      </c>
      <c r="G1" s="25" t="s">
        <v>57</v>
      </c>
      <c r="H1" s="25" t="s">
        <v>58</v>
      </c>
      <c r="I1" s="25" t="s">
        <v>59</v>
      </c>
      <c r="J1" s="25" t="s">
        <v>60</v>
      </c>
      <c r="K1" s="25" t="s">
        <v>61</v>
      </c>
      <c r="L1" s="25" t="s">
        <v>62</v>
      </c>
      <c r="M1" s="25" t="s">
        <v>63</v>
      </c>
      <c r="N1" s="25" t="s">
        <v>64</v>
      </c>
      <c r="O1" s="25" t="s">
        <v>65</v>
      </c>
      <c r="P1" s="25" t="s">
        <v>66</v>
      </c>
      <c r="Q1" s="25" t="s">
        <v>67</v>
      </c>
      <c r="R1" s="25" t="s">
        <v>68</v>
      </c>
      <c r="S1" s="25" t="s">
        <v>69</v>
      </c>
      <c r="T1" s="25" t="s">
        <v>70</v>
      </c>
      <c r="U1" s="25" t="s">
        <v>71</v>
      </c>
      <c r="V1" s="25" t="s">
        <v>72</v>
      </c>
      <c r="W1" s="25" t="s">
        <v>73</v>
      </c>
      <c r="X1" s="25" t="s">
        <v>74</v>
      </c>
      <c r="Y1" s="25" t="s">
        <v>75</v>
      </c>
      <c r="Z1" s="25" t="s">
        <v>76</v>
      </c>
      <c r="AA1" s="25" t="s">
        <v>77</v>
      </c>
      <c r="AB1" s="25" t="s">
        <v>78</v>
      </c>
      <c r="AC1" s="25" t="s">
        <v>79</v>
      </c>
      <c r="AD1" s="25" t="s">
        <v>80</v>
      </c>
      <c r="AE1" s="25" t="s">
        <v>81</v>
      </c>
      <c r="AF1" s="25" t="s">
        <v>82</v>
      </c>
      <c r="AG1" s="25" t="s">
        <v>83</v>
      </c>
      <c r="AH1" s="25" t="s">
        <v>84</v>
      </c>
      <c r="AI1" s="25" t="s">
        <v>85</v>
      </c>
      <c r="AJ1" s="25" t="s">
        <v>19</v>
      </c>
      <c r="AK1" s="31" t="s">
        <v>521</v>
      </c>
      <c r="AL1" s="31" t="s">
        <v>522</v>
      </c>
      <c r="AM1" s="31" t="s">
        <v>523</v>
      </c>
      <c r="AN1" s="31" t="s">
        <v>524</v>
      </c>
      <c r="AO1" s="31" t="s">
        <v>526</v>
      </c>
      <c r="AP1" s="33" t="s">
        <v>527</v>
      </c>
      <c r="AQ1" s="31" t="s">
        <v>529</v>
      </c>
      <c r="AR1" s="36" t="s">
        <v>530</v>
      </c>
      <c r="AS1" s="36" t="s">
        <v>531</v>
      </c>
    </row>
    <row r="2" spans="1:45" x14ac:dyDescent="0.25">
      <c r="A2" s="26" t="s">
        <v>86</v>
      </c>
      <c r="B2" t="s">
        <v>87</v>
      </c>
      <c r="C2" s="25">
        <v>0</v>
      </c>
      <c r="D2" s="25">
        <v>0</v>
      </c>
      <c r="E2" s="25">
        <v>0</v>
      </c>
      <c r="F2" s="25">
        <v>0</v>
      </c>
      <c r="G2" s="25">
        <v>0</v>
      </c>
      <c r="H2" s="25">
        <v>0</v>
      </c>
      <c r="I2" s="25">
        <v>23.38</v>
      </c>
      <c r="J2" s="25">
        <v>0</v>
      </c>
      <c r="K2" s="25">
        <v>0</v>
      </c>
      <c r="L2" s="25">
        <v>4.68</v>
      </c>
      <c r="M2" s="25">
        <v>18.7</v>
      </c>
      <c r="N2" s="25">
        <v>9.35</v>
      </c>
      <c r="O2" s="25">
        <v>0</v>
      </c>
      <c r="P2" s="25">
        <v>0</v>
      </c>
      <c r="Q2" s="25">
        <v>9.35</v>
      </c>
      <c r="R2" s="25">
        <v>37.409999999999997</v>
      </c>
      <c r="S2" s="25">
        <v>0</v>
      </c>
      <c r="T2" s="25">
        <v>0</v>
      </c>
      <c r="U2" s="25">
        <v>18.7</v>
      </c>
      <c r="V2" s="25">
        <v>28.06</v>
      </c>
      <c r="W2" s="25">
        <v>0</v>
      </c>
      <c r="X2" s="25">
        <v>0</v>
      </c>
      <c r="Y2" s="25">
        <v>18.7</v>
      </c>
      <c r="Z2" s="25">
        <v>4.68</v>
      </c>
      <c r="AA2" s="25">
        <v>0</v>
      </c>
      <c r="AB2" s="25">
        <v>0</v>
      </c>
      <c r="AC2" s="25">
        <v>23.38</v>
      </c>
      <c r="AD2" s="25">
        <v>23.38</v>
      </c>
      <c r="AE2" s="25">
        <v>0</v>
      </c>
      <c r="AF2" s="25">
        <v>0</v>
      </c>
      <c r="AG2" s="25">
        <v>56.11</v>
      </c>
      <c r="AH2" s="25">
        <v>23.38</v>
      </c>
      <c r="AI2" s="25" t="s">
        <v>88</v>
      </c>
      <c r="AJ2" s="25" t="s">
        <v>89</v>
      </c>
      <c r="AK2" s="32">
        <f>C2+G2+K2+O2+S2+W2+AA2+AE2</f>
        <v>0</v>
      </c>
      <c r="AL2" s="32">
        <f>D2+H2+L2+P2+T2+X2+AB2+AF2</f>
        <v>4.68</v>
      </c>
      <c r="AM2" s="32">
        <f>E2+I2+M2+Q2+U2+Y2+AC2+AG2</f>
        <v>168.32</v>
      </c>
      <c r="AN2" s="32">
        <f>F2+J2+N2+R2+V2+Z2+AD2+AH2</f>
        <v>126.25999999999999</v>
      </c>
      <c r="AO2" s="34">
        <f>IFERROR(AK2/AL2,0)</f>
        <v>0</v>
      </c>
      <c r="AP2" s="34">
        <f>IFERROR(AM2/AN2,0)</f>
        <v>1.3331221289402819</v>
      </c>
      <c r="AQ2" s="33">
        <f>SUM(C2:Z2)</f>
        <v>173.01</v>
      </c>
      <c r="AR2" s="37">
        <f>AK2+AL2</f>
        <v>4.68</v>
      </c>
      <c r="AS2" s="37">
        <f>AM2+AN2</f>
        <v>294.58</v>
      </c>
    </row>
    <row r="3" spans="1:45" x14ac:dyDescent="0.25">
      <c r="A3" s="26" t="s">
        <v>90</v>
      </c>
      <c r="B3" t="s">
        <v>91</v>
      </c>
      <c r="C3" s="25">
        <v>0</v>
      </c>
      <c r="D3" s="25">
        <v>0</v>
      </c>
      <c r="E3" s="25">
        <v>20.34</v>
      </c>
      <c r="F3" s="25">
        <v>10.16</v>
      </c>
      <c r="G3" s="25">
        <v>10.17</v>
      </c>
      <c r="H3" s="25">
        <v>0</v>
      </c>
      <c r="I3" s="25">
        <v>10.14</v>
      </c>
      <c r="J3" s="25">
        <v>25.41</v>
      </c>
      <c r="K3" s="25">
        <v>10.17</v>
      </c>
      <c r="L3" s="25">
        <v>5.09</v>
      </c>
      <c r="M3" s="25">
        <v>101.64</v>
      </c>
      <c r="N3" s="25">
        <v>40.67</v>
      </c>
      <c r="O3" s="25">
        <v>45.71</v>
      </c>
      <c r="P3" s="25">
        <v>25.41</v>
      </c>
      <c r="Q3" s="25">
        <v>213.43</v>
      </c>
      <c r="R3" s="25">
        <v>198.16</v>
      </c>
      <c r="S3" s="25">
        <v>5.08</v>
      </c>
      <c r="T3" s="25">
        <v>30.47</v>
      </c>
      <c r="U3" s="25">
        <v>187.99</v>
      </c>
      <c r="V3" s="25">
        <v>528.54</v>
      </c>
      <c r="W3" s="25">
        <v>76.19</v>
      </c>
      <c r="X3" s="25">
        <v>15.25</v>
      </c>
      <c r="Y3" s="25">
        <v>350.82</v>
      </c>
      <c r="Z3" s="25">
        <v>71.16</v>
      </c>
      <c r="AA3" s="25">
        <v>45.8</v>
      </c>
      <c r="AB3" s="25">
        <v>45.8</v>
      </c>
      <c r="AC3" s="25">
        <v>295.14999999999998</v>
      </c>
      <c r="AD3" s="25">
        <v>386.65</v>
      </c>
      <c r="AE3" s="25">
        <v>20.309999999999999</v>
      </c>
      <c r="AF3" s="25">
        <v>71.099999999999994</v>
      </c>
      <c r="AG3" s="25">
        <v>654.73</v>
      </c>
      <c r="AH3" s="25">
        <v>766.48</v>
      </c>
      <c r="AI3" s="25" t="s">
        <v>88</v>
      </c>
      <c r="AJ3" s="25" t="s">
        <v>89</v>
      </c>
      <c r="AK3" s="32">
        <f t="shared" ref="AK3:AK66" si="0">C3+G3+K3+O3+S3+W3+AA3+AE3</f>
        <v>213.43</v>
      </c>
      <c r="AL3" s="32">
        <f t="shared" ref="AL3:AL66" si="1">D3+H3+L3+P3+T3+X3+AB3+AF3</f>
        <v>193.12</v>
      </c>
      <c r="AM3" s="32">
        <f t="shared" ref="AM3:AM66" si="2">E3+I3+M3+Q3+U3+Y3+AC3+AG3</f>
        <v>1834.2399999999998</v>
      </c>
      <c r="AN3" s="32">
        <f t="shared" ref="AN3:AN66" si="3">F3+J3+N3+R3+V3+Z3+AD3+AH3</f>
        <v>2027.23</v>
      </c>
      <c r="AO3" s="34">
        <f t="shared" ref="AO3:AO66" si="4">IFERROR(AK3/AL3,0)</f>
        <v>1.1051677713338857</v>
      </c>
      <c r="AP3" s="34">
        <f t="shared" ref="AP3:AP66" si="5">IFERROR(AM3/AN3,0)</f>
        <v>0.90480113257992423</v>
      </c>
      <c r="AQ3" s="33">
        <f t="shared" ref="AQ3:AQ66" si="6">SUM(C3:Z3)</f>
        <v>1982</v>
      </c>
      <c r="AR3" s="37">
        <f t="shared" ref="AR3:AR66" si="7">AK3+AL3</f>
        <v>406.55</v>
      </c>
      <c r="AS3" s="37">
        <f t="shared" ref="AS3:AS66" si="8">AM3+AN3</f>
        <v>3861.47</v>
      </c>
    </row>
    <row r="4" spans="1:45" x14ac:dyDescent="0.25">
      <c r="A4" s="26" t="s">
        <v>92</v>
      </c>
      <c r="B4" t="s">
        <v>93</v>
      </c>
      <c r="C4" s="25">
        <v>0</v>
      </c>
      <c r="D4" s="25">
        <v>0</v>
      </c>
      <c r="E4" s="25">
        <v>15.05</v>
      </c>
      <c r="F4" s="25">
        <v>0</v>
      </c>
      <c r="G4" s="25">
        <v>10.050000000000001</v>
      </c>
      <c r="H4" s="25">
        <v>5.03</v>
      </c>
      <c r="I4" s="25">
        <v>30.11</v>
      </c>
      <c r="J4" s="25">
        <v>20.11</v>
      </c>
      <c r="K4" s="25">
        <v>10.050000000000001</v>
      </c>
      <c r="L4" s="25">
        <v>0</v>
      </c>
      <c r="M4" s="25">
        <v>125.69</v>
      </c>
      <c r="N4" s="25">
        <v>80.44</v>
      </c>
      <c r="O4" s="25">
        <v>5.03</v>
      </c>
      <c r="P4" s="25">
        <v>0</v>
      </c>
      <c r="Q4" s="25">
        <v>135.74</v>
      </c>
      <c r="R4" s="25">
        <v>155.85</v>
      </c>
      <c r="S4" s="25">
        <v>5.03</v>
      </c>
      <c r="T4" s="25">
        <v>20.11</v>
      </c>
      <c r="U4" s="25">
        <v>20.11</v>
      </c>
      <c r="V4" s="25">
        <v>95.52</v>
      </c>
      <c r="W4" s="25">
        <v>20.11</v>
      </c>
      <c r="X4" s="25">
        <v>10.050000000000001</v>
      </c>
      <c r="Y4" s="25">
        <v>55.3</v>
      </c>
      <c r="Z4" s="25">
        <v>5.03</v>
      </c>
      <c r="AA4" s="25">
        <v>25.14</v>
      </c>
      <c r="AB4" s="25">
        <v>19.989999999999998</v>
      </c>
      <c r="AC4" s="25">
        <v>100.55</v>
      </c>
      <c r="AD4" s="25">
        <v>179.61</v>
      </c>
      <c r="AE4" s="25">
        <v>5.03</v>
      </c>
      <c r="AF4" s="25">
        <v>20.11</v>
      </c>
      <c r="AG4" s="25">
        <v>331.67</v>
      </c>
      <c r="AH4" s="25">
        <v>230.83</v>
      </c>
      <c r="AI4" s="25" t="s">
        <v>94</v>
      </c>
      <c r="AJ4" s="25" t="s">
        <v>89</v>
      </c>
      <c r="AK4" s="32">
        <f t="shared" si="0"/>
        <v>80.44</v>
      </c>
      <c r="AL4" s="32">
        <f t="shared" si="1"/>
        <v>75.289999999999992</v>
      </c>
      <c r="AM4" s="32">
        <f t="shared" si="2"/>
        <v>814.22</v>
      </c>
      <c r="AN4" s="32">
        <f t="shared" si="3"/>
        <v>767.39</v>
      </c>
      <c r="AO4" s="34">
        <f t="shared" si="4"/>
        <v>1.0684021782441229</v>
      </c>
      <c r="AP4" s="34">
        <f t="shared" si="5"/>
        <v>1.0610250329037387</v>
      </c>
      <c r="AQ4" s="33">
        <f t="shared" si="6"/>
        <v>824.40999999999985</v>
      </c>
      <c r="AR4" s="37">
        <f t="shared" si="7"/>
        <v>155.72999999999999</v>
      </c>
      <c r="AS4" s="37">
        <f t="shared" si="8"/>
        <v>1581.6100000000001</v>
      </c>
    </row>
    <row r="5" spans="1:45" x14ac:dyDescent="0.25">
      <c r="A5" s="26" t="s">
        <v>95</v>
      </c>
      <c r="B5" t="s">
        <v>96</v>
      </c>
      <c r="C5" s="25">
        <v>0</v>
      </c>
      <c r="D5" s="25">
        <v>0</v>
      </c>
      <c r="E5" s="25">
        <v>0</v>
      </c>
      <c r="F5" s="25">
        <v>0</v>
      </c>
      <c r="G5" s="25">
        <v>32.67</v>
      </c>
      <c r="H5" s="25">
        <v>4.6100000000000003</v>
      </c>
      <c r="I5" s="25">
        <v>136.87</v>
      </c>
      <c r="J5" s="25">
        <v>32.64</v>
      </c>
      <c r="K5" s="25">
        <v>76.819999999999993</v>
      </c>
      <c r="L5" s="25">
        <v>27.74</v>
      </c>
      <c r="M5" s="25">
        <v>555.77</v>
      </c>
      <c r="N5" s="25">
        <v>344.18</v>
      </c>
      <c r="O5" s="25">
        <v>66.05</v>
      </c>
      <c r="P5" s="25">
        <v>64.849999999999994</v>
      </c>
      <c r="Q5" s="25">
        <v>582.66</v>
      </c>
      <c r="R5" s="25">
        <v>739.98</v>
      </c>
      <c r="S5" s="25">
        <v>140.41</v>
      </c>
      <c r="T5" s="25">
        <v>168.57</v>
      </c>
      <c r="U5" s="25">
        <v>352.85</v>
      </c>
      <c r="V5" s="25">
        <v>863.62</v>
      </c>
      <c r="W5" s="25">
        <v>368.61</v>
      </c>
      <c r="X5" s="25">
        <v>63.6</v>
      </c>
      <c r="Y5" s="25">
        <v>573.58000000000004</v>
      </c>
      <c r="Z5" s="25">
        <v>149.13</v>
      </c>
      <c r="AA5" s="25">
        <v>117.53</v>
      </c>
      <c r="AB5" s="25">
        <v>93.26</v>
      </c>
      <c r="AC5" s="25">
        <v>698.53</v>
      </c>
      <c r="AD5" s="25">
        <v>1015.94</v>
      </c>
      <c r="AE5" s="25">
        <v>213.09</v>
      </c>
      <c r="AF5" s="25">
        <v>267.07</v>
      </c>
      <c r="AG5" s="25">
        <v>1276.73</v>
      </c>
      <c r="AH5" s="25">
        <v>1354.12</v>
      </c>
      <c r="AI5" s="25" t="s">
        <v>88</v>
      </c>
      <c r="AJ5" s="25" t="s">
        <v>89</v>
      </c>
      <c r="AK5" s="32">
        <f t="shared" si="0"/>
        <v>1015.18</v>
      </c>
      <c r="AL5" s="32">
        <f t="shared" si="1"/>
        <v>689.7</v>
      </c>
      <c r="AM5" s="32">
        <f t="shared" si="2"/>
        <v>4176.99</v>
      </c>
      <c r="AN5" s="32">
        <f t="shared" si="3"/>
        <v>4499.6100000000006</v>
      </c>
      <c r="AO5" s="34">
        <f t="shared" si="4"/>
        <v>1.4719153255038422</v>
      </c>
      <c r="AP5" s="34">
        <f t="shared" si="5"/>
        <v>0.928300452705901</v>
      </c>
      <c r="AQ5" s="33">
        <f t="shared" si="6"/>
        <v>5345.21</v>
      </c>
      <c r="AR5" s="37">
        <f t="shared" si="7"/>
        <v>1704.88</v>
      </c>
      <c r="AS5" s="37">
        <f t="shared" si="8"/>
        <v>8676.6</v>
      </c>
    </row>
    <row r="6" spans="1:45" x14ac:dyDescent="0.25">
      <c r="A6" s="26" t="s">
        <v>97</v>
      </c>
      <c r="B6" t="s">
        <v>98</v>
      </c>
      <c r="C6" s="25">
        <v>0</v>
      </c>
      <c r="D6" s="25">
        <v>0</v>
      </c>
      <c r="E6" s="25">
        <v>5.17</v>
      </c>
      <c r="F6" s="25">
        <v>0</v>
      </c>
      <c r="G6" s="25">
        <v>5.17</v>
      </c>
      <c r="H6" s="25">
        <v>0</v>
      </c>
      <c r="I6" s="25">
        <v>10.34</v>
      </c>
      <c r="J6" s="25">
        <v>0</v>
      </c>
      <c r="K6" s="25">
        <v>0</v>
      </c>
      <c r="L6" s="25">
        <v>5.17</v>
      </c>
      <c r="M6" s="25">
        <v>5.17</v>
      </c>
      <c r="N6" s="25">
        <v>0</v>
      </c>
      <c r="O6" s="25">
        <v>0</v>
      </c>
      <c r="P6" s="25">
        <v>0</v>
      </c>
      <c r="Q6" s="25">
        <v>10.34</v>
      </c>
      <c r="R6" s="25">
        <v>20.68</v>
      </c>
      <c r="S6" s="25">
        <v>0</v>
      </c>
      <c r="T6" s="25">
        <v>0</v>
      </c>
      <c r="U6" s="25">
        <v>10.34</v>
      </c>
      <c r="V6" s="25">
        <v>10.34</v>
      </c>
      <c r="W6" s="25">
        <v>0</v>
      </c>
      <c r="X6" s="25">
        <v>0</v>
      </c>
      <c r="Y6" s="25">
        <v>0</v>
      </c>
      <c r="Z6" s="25">
        <v>0</v>
      </c>
      <c r="AA6" s="25">
        <v>0</v>
      </c>
      <c r="AB6" s="25">
        <v>0</v>
      </c>
      <c r="AC6" s="25">
        <v>10.34</v>
      </c>
      <c r="AD6" s="25">
        <v>10.34</v>
      </c>
      <c r="AE6" s="25">
        <v>0</v>
      </c>
      <c r="AF6" s="25">
        <v>0</v>
      </c>
      <c r="AG6" s="25">
        <v>20.68</v>
      </c>
      <c r="AH6" s="25">
        <v>36.19</v>
      </c>
      <c r="AI6" s="25" t="s">
        <v>88</v>
      </c>
      <c r="AJ6" s="25" t="s">
        <v>89</v>
      </c>
      <c r="AK6" s="32">
        <f t="shared" si="0"/>
        <v>5.17</v>
      </c>
      <c r="AL6" s="32">
        <f t="shared" si="1"/>
        <v>5.17</v>
      </c>
      <c r="AM6" s="32">
        <f t="shared" si="2"/>
        <v>72.38</v>
      </c>
      <c r="AN6" s="32">
        <f t="shared" si="3"/>
        <v>77.55</v>
      </c>
      <c r="AO6" s="34">
        <f t="shared" si="4"/>
        <v>1</v>
      </c>
      <c r="AP6" s="34">
        <f t="shared" si="5"/>
        <v>0.93333333333333335</v>
      </c>
      <c r="AQ6" s="33">
        <f t="shared" si="6"/>
        <v>82.72</v>
      </c>
      <c r="AR6" s="37">
        <f t="shared" si="7"/>
        <v>10.34</v>
      </c>
      <c r="AS6" s="37">
        <f t="shared" si="8"/>
        <v>149.93</v>
      </c>
    </row>
    <row r="7" spans="1:45" x14ac:dyDescent="0.25">
      <c r="A7" s="26" t="s">
        <v>99</v>
      </c>
      <c r="B7" t="s">
        <v>100</v>
      </c>
      <c r="C7" s="25">
        <v>0</v>
      </c>
      <c r="D7" s="25">
        <v>0</v>
      </c>
      <c r="E7" s="25">
        <v>3.85</v>
      </c>
      <c r="F7" s="25">
        <v>4.5599999999999996</v>
      </c>
      <c r="G7" s="25">
        <v>231.2</v>
      </c>
      <c r="H7" s="25">
        <v>47.98</v>
      </c>
      <c r="I7" s="25">
        <v>311.79000000000002</v>
      </c>
      <c r="J7" s="25">
        <v>162.97999999999999</v>
      </c>
      <c r="K7" s="25">
        <v>286.41000000000003</v>
      </c>
      <c r="L7" s="25">
        <v>157.91</v>
      </c>
      <c r="M7" s="25">
        <v>1134.52</v>
      </c>
      <c r="N7" s="25">
        <v>854.16</v>
      </c>
      <c r="O7" s="25">
        <v>405.58</v>
      </c>
      <c r="P7" s="25">
        <v>361.04</v>
      </c>
      <c r="Q7" s="25">
        <v>1521.33</v>
      </c>
      <c r="R7" s="25">
        <v>1956.59</v>
      </c>
      <c r="S7" s="25">
        <v>422.73</v>
      </c>
      <c r="T7" s="25">
        <v>1253.96</v>
      </c>
      <c r="U7" s="25">
        <v>1174.99</v>
      </c>
      <c r="V7" s="25">
        <v>2785.13</v>
      </c>
      <c r="W7" s="25">
        <v>1371.61</v>
      </c>
      <c r="X7" s="25">
        <v>296.10000000000002</v>
      </c>
      <c r="Y7" s="25">
        <v>1671.54</v>
      </c>
      <c r="Z7" s="25">
        <v>303</v>
      </c>
      <c r="AA7" s="25">
        <v>720.83</v>
      </c>
      <c r="AB7" s="25">
        <v>559.95000000000005</v>
      </c>
      <c r="AC7" s="25">
        <v>1647.39</v>
      </c>
      <c r="AD7" s="25">
        <v>2115.77</v>
      </c>
      <c r="AE7" s="25">
        <v>766.17</v>
      </c>
      <c r="AF7" s="25">
        <v>1304.5</v>
      </c>
      <c r="AG7" s="25">
        <v>5190.53</v>
      </c>
      <c r="AH7" s="25">
        <v>5324.77</v>
      </c>
      <c r="AI7" s="25" t="s">
        <v>101</v>
      </c>
      <c r="AJ7" s="25" t="s">
        <v>89</v>
      </c>
      <c r="AK7" s="32">
        <f t="shared" si="0"/>
        <v>4204.53</v>
      </c>
      <c r="AL7" s="32">
        <f t="shared" si="1"/>
        <v>3981.4400000000005</v>
      </c>
      <c r="AM7" s="32">
        <f t="shared" si="2"/>
        <v>12655.939999999999</v>
      </c>
      <c r="AN7" s="32">
        <f t="shared" si="3"/>
        <v>13506.960000000001</v>
      </c>
      <c r="AO7" s="34">
        <f t="shared" si="4"/>
        <v>1.0560324907571128</v>
      </c>
      <c r="AP7" s="34">
        <f t="shared" si="5"/>
        <v>0.93699396459306894</v>
      </c>
      <c r="AQ7" s="33">
        <f t="shared" si="6"/>
        <v>16718.96</v>
      </c>
      <c r="AR7" s="37">
        <f t="shared" si="7"/>
        <v>8185.97</v>
      </c>
      <c r="AS7" s="37">
        <f t="shared" si="8"/>
        <v>26162.9</v>
      </c>
    </row>
    <row r="8" spans="1:45" x14ac:dyDescent="0.25">
      <c r="A8" s="26" t="s">
        <v>102</v>
      </c>
      <c r="B8" t="s">
        <v>103</v>
      </c>
      <c r="C8" s="25">
        <v>0</v>
      </c>
      <c r="D8" s="25">
        <v>0</v>
      </c>
      <c r="E8" s="25">
        <v>9.89</v>
      </c>
      <c r="F8" s="25">
        <v>0</v>
      </c>
      <c r="G8" s="25">
        <v>5</v>
      </c>
      <c r="H8" s="25">
        <v>4.95</v>
      </c>
      <c r="I8" s="25">
        <v>9.9499999999999993</v>
      </c>
      <c r="J8" s="25">
        <v>0</v>
      </c>
      <c r="K8" s="25">
        <v>4.9800000000000004</v>
      </c>
      <c r="L8" s="25">
        <v>4.9800000000000004</v>
      </c>
      <c r="M8" s="25">
        <v>4.97</v>
      </c>
      <c r="N8" s="25">
        <v>4.97</v>
      </c>
      <c r="O8" s="25">
        <v>0</v>
      </c>
      <c r="P8" s="25">
        <v>0</v>
      </c>
      <c r="Q8" s="25">
        <v>14.91</v>
      </c>
      <c r="R8" s="25">
        <v>24.91</v>
      </c>
      <c r="S8" s="25">
        <v>5</v>
      </c>
      <c r="T8" s="25">
        <v>14.95</v>
      </c>
      <c r="U8" s="25">
        <v>4.95</v>
      </c>
      <c r="V8" s="25">
        <v>19.88</v>
      </c>
      <c r="W8" s="25">
        <v>4.9800000000000004</v>
      </c>
      <c r="X8" s="25">
        <v>9.9700000000000006</v>
      </c>
      <c r="Y8" s="25">
        <v>24.83</v>
      </c>
      <c r="Z8" s="25">
        <v>4.95</v>
      </c>
      <c r="AA8" s="25">
        <v>0</v>
      </c>
      <c r="AB8" s="25">
        <v>0</v>
      </c>
      <c r="AC8" s="25">
        <v>24.76</v>
      </c>
      <c r="AD8" s="25">
        <v>39.590000000000003</v>
      </c>
      <c r="AE8" s="25">
        <v>0</v>
      </c>
      <c r="AF8" s="25">
        <v>9.99</v>
      </c>
      <c r="AG8" s="25">
        <v>44.88</v>
      </c>
      <c r="AH8" s="25">
        <v>64.790000000000006</v>
      </c>
      <c r="AI8" s="25" t="s">
        <v>88</v>
      </c>
      <c r="AJ8" s="25" t="s">
        <v>89</v>
      </c>
      <c r="AK8" s="32">
        <f t="shared" si="0"/>
        <v>19.96</v>
      </c>
      <c r="AL8" s="32">
        <f t="shared" si="1"/>
        <v>44.84</v>
      </c>
      <c r="AM8" s="32">
        <f t="shared" si="2"/>
        <v>139.14000000000001</v>
      </c>
      <c r="AN8" s="32">
        <f t="shared" si="3"/>
        <v>159.09000000000003</v>
      </c>
      <c r="AO8" s="34">
        <f t="shared" si="4"/>
        <v>0.44513826940231932</v>
      </c>
      <c r="AP8" s="34">
        <f t="shared" si="5"/>
        <v>0.87459928342447668</v>
      </c>
      <c r="AQ8" s="33">
        <f t="shared" si="6"/>
        <v>179.01999999999998</v>
      </c>
      <c r="AR8" s="37">
        <f t="shared" si="7"/>
        <v>64.800000000000011</v>
      </c>
      <c r="AS8" s="37">
        <f t="shared" si="8"/>
        <v>298.23</v>
      </c>
    </row>
    <row r="9" spans="1:45" x14ac:dyDescent="0.25">
      <c r="A9" s="26" t="s">
        <v>104</v>
      </c>
      <c r="B9" t="s">
        <v>105</v>
      </c>
      <c r="C9" s="25">
        <v>0</v>
      </c>
      <c r="D9" s="25">
        <v>0</v>
      </c>
      <c r="E9" s="25">
        <v>0</v>
      </c>
      <c r="F9" s="25">
        <v>0</v>
      </c>
      <c r="G9" s="25">
        <v>0</v>
      </c>
      <c r="H9" s="25">
        <v>0</v>
      </c>
      <c r="I9" s="25">
        <v>5</v>
      </c>
      <c r="J9" s="25">
        <v>5</v>
      </c>
      <c r="K9" s="25">
        <v>0</v>
      </c>
      <c r="L9" s="25">
        <v>0</v>
      </c>
      <c r="M9" s="25">
        <v>15</v>
      </c>
      <c r="N9" s="25">
        <v>5</v>
      </c>
      <c r="O9" s="25">
        <v>0</v>
      </c>
      <c r="P9" s="25">
        <v>0</v>
      </c>
      <c r="Q9" s="25">
        <v>15</v>
      </c>
      <c r="R9" s="25">
        <v>35</v>
      </c>
      <c r="S9" s="25">
        <v>0</v>
      </c>
      <c r="T9" s="25">
        <v>0</v>
      </c>
      <c r="U9" s="25">
        <v>20</v>
      </c>
      <c r="V9" s="25">
        <v>35</v>
      </c>
      <c r="W9" s="25">
        <v>0</v>
      </c>
      <c r="X9" s="25">
        <v>0</v>
      </c>
      <c r="Y9" s="25">
        <v>5</v>
      </c>
      <c r="Z9" s="25">
        <v>0</v>
      </c>
      <c r="AA9" s="25">
        <v>10</v>
      </c>
      <c r="AB9" s="25">
        <v>10</v>
      </c>
      <c r="AC9" s="25">
        <v>30</v>
      </c>
      <c r="AD9" s="25">
        <v>30</v>
      </c>
      <c r="AE9" s="25">
        <v>0</v>
      </c>
      <c r="AF9" s="25">
        <v>5</v>
      </c>
      <c r="AG9" s="25">
        <v>45</v>
      </c>
      <c r="AH9" s="25">
        <v>50</v>
      </c>
      <c r="AI9" s="25" t="s">
        <v>94</v>
      </c>
      <c r="AJ9" s="25" t="s">
        <v>89</v>
      </c>
      <c r="AK9" s="32">
        <f t="shared" si="0"/>
        <v>10</v>
      </c>
      <c r="AL9" s="32">
        <f t="shared" si="1"/>
        <v>15</v>
      </c>
      <c r="AM9" s="32">
        <f t="shared" si="2"/>
        <v>135</v>
      </c>
      <c r="AN9" s="32">
        <f t="shared" si="3"/>
        <v>160</v>
      </c>
      <c r="AO9" s="34">
        <f t="shared" si="4"/>
        <v>0.66666666666666663</v>
      </c>
      <c r="AP9" s="34">
        <f t="shared" si="5"/>
        <v>0.84375</v>
      </c>
      <c r="AQ9" s="33">
        <f t="shared" si="6"/>
        <v>140</v>
      </c>
      <c r="AR9" s="37">
        <f t="shared" si="7"/>
        <v>25</v>
      </c>
      <c r="AS9" s="37">
        <f t="shared" si="8"/>
        <v>295</v>
      </c>
    </row>
    <row r="10" spans="1:45" x14ac:dyDescent="0.25">
      <c r="A10" s="26" t="s">
        <v>106</v>
      </c>
      <c r="B10" t="s">
        <v>107</v>
      </c>
      <c r="C10" s="25">
        <v>0</v>
      </c>
      <c r="D10" s="25">
        <v>0</v>
      </c>
      <c r="E10" s="25">
        <v>0</v>
      </c>
      <c r="F10" s="25">
        <v>0</v>
      </c>
      <c r="G10" s="25">
        <v>0</v>
      </c>
      <c r="H10" s="25">
        <v>0</v>
      </c>
      <c r="I10" s="25">
        <v>5.05</v>
      </c>
      <c r="J10" s="25">
        <v>5.05</v>
      </c>
      <c r="K10" s="25">
        <v>20.190000000000001</v>
      </c>
      <c r="L10" s="25">
        <v>0</v>
      </c>
      <c r="M10" s="25">
        <v>65.599999999999994</v>
      </c>
      <c r="N10" s="25">
        <v>40.369999999999997</v>
      </c>
      <c r="O10" s="25">
        <v>0</v>
      </c>
      <c r="P10" s="25">
        <v>10.09</v>
      </c>
      <c r="Q10" s="25">
        <v>95.88</v>
      </c>
      <c r="R10" s="25">
        <v>100.93</v>
      </c>
      <c r="S10" s="25">
        <v>0</v>
      </c>
      <c r="T10" s="25">
        <v>5.05</v>
      </c>
      <c r="U10" s="25">
        <v>15.14</v>
      </c>
      <c r="V10" s="25">
        <v>121.11</v>
      </c>
      <c r="W10" s="25">
        <v>15.14</v>
      </c>
      <c r="X10" s="25">
        <v>0</v>
      </c>
      <c r="Y10" s="25">
        <v>100.93</v>
      </c>
      <c r="Z10" s="25">
        <v>15.14</v>
      </c>
      <c r="AA10" s="25">
        <v>5.05</v>
      </c>
      <c r="AB10" s="25">
        <v>0</v>
      </c>
      <c r="AC10" s="25">
        <v>131.21</v>
      </c>
      <c r="AD10" s="25">
        <v>126.16</v>
      </c>
      <c r="AE10" s="25">
        <v>20.190000000000001</v>
      </c>
      <c r="AF10" s="25">
        <v>90.83</v>
      </c>
      <c r="AG10" s="25">
        <v>161.19999999999999</v>
      </c>
      <c r="AH10" s="25">
        <v>160.91</v>
      </c>
      <c r="AI10" s="25" t="s">
        <v>94</v>
      </c>
      <c r="AJ10" s="25" t="s">
        <v>89</v>
      </c>
      <c r="AK10" s="32">
        <f t="shared" si="0"/>
        <v>60.569999999999993</v>
      </c>
      <c r="AL10" s="32">
        <f t="shared" si="1"/>
        <v>105.97</v>
      </c>
      <c r="AM10" s="32">
        <f t="shared" si="2"/>
        <v>575.01</v>
      </c>
      <c r="AN10" s="32">
        <f t="shared" si="3"/>
        <v>569.66999999999996</v>
      </c>
      <c r="AO10" s="34">
        <f t="shared" si="4"/>
        <v>0.57157686137586106</v>
      </c>
      <c r="AP10" s="34">
        <f t="shared" si="5"/>
        <v>1.0093738480172731</v>
      </c>
      <c r="AQ10" s="33">
        <f t="shared" si="6"/>
        <v>615.66999999999996</v>
      </c>
      <c r="AR10" s="37">
        <f t="shared" si="7"/>
        <v>166.54</v>
      </c>
      <c r="AS10" s="37">
        <f t="shared" si="8"/>
        <v>1144.6799999999998</v>
      </c>
    </row>
    <row r="11" spans="1:45" x14ac:dyDescent="0.25">
      <c r="A11" s="26" t="s">
        <v>108</v>
      </c>
      <c r="B11" t="s">
        <v>109</v>
      </c>
      <c r="C11" s="25">
        <v>0</v>
      </c>
      <c r="D11" s="25">
        <v>0</v>
      </c>
      <c r="E11" s="25">
        <v>0</v>
      </c>
      <c r="F11" s="25">
        <v>0</v>
      </c>
      <c r="G11" s="25">
        <v>5.19</v>
      </c>
      <c r="H11" s="25">
        <v>0</v>
      </c>
      <c r="I11" s="25">
        <v>35.99</v>
      </c>
      <c r="J11" s="25">
        <v>15.57</v>
      </c>
      <c r="K11" s="25">
        <v>0</v>
      </c>
      <c r="L11" s="25">
        <v>0</v>
      </c>
      <c r="M11" s="25">
        <v>82.95</v>
      </c>
      <c r="N11" s="25">
        <v>62.35</v>
      </c>
      <c r="O11" s="25">
        <v>0</v>
      </c>
      <c r="P11" s="25">
        <v>0</v>
      </c>
      <c r="Q11" s="25">
        <v>51.75</v>
      </c>
      <c r="R11" s="25">
        <v>88.36</v>
      </c>
      <c r="S11" s="25">
        <v>0</v>
      </c>
      <c r="T11" s="25">
        <v>5.2</v>
      </c>
      <c r="U11" s="25">
        <v>25.98</v>
      </c>
      <c r="V11" s="25">
        <v>31.15</v>
      </c>
      <c r="W11" s="25">
        <v>10.4</v>
      </c>
      <c r="X11" s="25">
        <v>10.39</v>
      </c>
      <c r="Y11" s="25">
        <v>57.17</v>
      </c>
      <c r="Z11" s="25">
        <v>10.41</v>
      </c>
      <c r="AA11" s="25">
        <v>5.2</v>
      </c>
      <c r="AB11" s="25">
        <v>0</v>
      </c>
      <c r="AC11" s="25">
        <v>67.459999999999994</v>
      </c>
      <c r="AD11" s="25">
        <v>57.08</v>
      </c>
      <c r="AE11" s="25">
        <v>0</v>
      </c>
      <c r="AF11" s="25">
        <v>15.6</v>
      </c>
      <c r="AG11" s="25">
        <v>206.62</v>
      </c>
      <c r="AH11" s="25">
        <v>160.56</v>
      </c>
      <c r="AI11" s="25" t="s">
        <v>88</v>
      </c>
      <c r="AJ11" s="25" t="s">
        <v>89</v>
      </c>
      <c r="AK11" s="32">
        <f t="shared" si="0"/>
        <v>20.79</v>
      </c>
      <c r="AL11" s="32">
        <f t="shared" si="1"/>
        <v>31.189999999999998</v>
      </c>
      <c r="AM11" s="32">
        <f t="shared" si="2"/>
        <v>527.91999999999996</v>
      </c>
      <c r="AN11" s="32">
        <f t="shared" si="3"/>
        <v>425.48</v>
      </c>
      <c r="AO11" s="34">
        <f t="shared" si="4"/>
        <v>0.66655979480602756</v>
      </c>
      <c r="AP11" s="34">
        <f t="shared" si="5"/>
        <v>1.240763373131522</v>
      </c>
      <c r="AQ11" s="33">
        <f t="shared" si="6"/>
        <v>492.85999999999996</v>
      </c>
      <c r="AR11" s="37">
        <f t="shared" si="7"/>
        <v>51.98</v>
      </c>
      <c r="AS11" s="37">
        <f t="shared" si="8"/>
        <v>953.4</v>
      </c>
    </row>
    <row r="12" spans="1:45" x14ac:dyDescent="0.25">
      <c r="A12" s="26" t="s">
        <v>110</v>
      </c>
      <c r="B12" t="s">
        <v>111</v>
      </c>
      <c r="C12" s="25">
        <v>0</v>
      </c>
      <c r="D12" s="25">
        <v>0</v>
      </c>
      <c r="E12" s="25">
        <v>0</v>
      </c>
      <c r="F12" s="25">
        <v>0</v>
      </c>
      <c r="G12" s="25">
        <v>25.3</v>
      </c>
      <c r="H12" s="25">
        <v>5.07</v>
      </c>
      <c r="I12" s="25">
        <v>81.11</v>
      </c>
      <c r="J12" s="25">
        <v>45.25</v>
      </c>
      <c r="K12" s="25">
        <v>9.9600000000000009</v>
      </c>
      <c r="L12" s="25">
        <v>26.32</v>
      </c>
      <c r="M12" s="25">
        <v>359.57</v>
      </c>
      <c r="N12" s="25">
        <v>247.96</v>
      </c>
      <c r="O12" s="25">
        <v>33.39</v>
      </c>
      <c r="P12" s="25">
        <v>39.479999999999997</v>
      </c>
      <c r="Q12" s="25">
        <v>303.95</v>
      </c>
      <c r="R12" s="25">
        <v>389.83</v>
      </c>
      <c r="S12" s="25">
        <v>9.18</v>
      </c>
      <c r="T12" s="25">
        <v>73.680000000000007</v>
      </c>
      <c r="U12" s="25">
        <v>106.05</v>
      </c>
      <c r="V12" s="25">
        <v>359.5</v>
      </c>
      <c r="W12" s="25">
        <v>71.010000000000005</v>
      </c>
      <c r="X12" s="25">
        <v>0</v>
      </c>
      <c r="Y12" s="25">
        <v>242.9</v>
      </c>
      <c r="Z12" s="25">
        <v>30.23</v>
      </c>
      <c r="AA12" s="25">
        <v>15.31</v>
      </c>
      <c r="AB12" s="25">
        <v>10.24</v>
      </c>
      <c r="AC12" s="25">
        <v>290.23</v>
      </c>
      <c r="AD12" s="25">
        <v>381.52</v>
      </c>
      <c r="AE12" s="25">
        <v>42.5</v>
      </c>
      <c r="AF12" s="25">
        <v>66.709999999999994</v>
      </c>
      <c r="AG12" s="25">
        <v>682.79</v>
      </c>
      <c r="AH12" s="25">
        <v>697.97</v>
      </c>
      <c r="AI12" s="25" t="s">
        <v>88</v>
      </c>
      <c r="AJ12" s="25" t="s">
        <v>89</v>
      </c>
      <c r="AK12" s="32">
        <f t="shared" si="0"/>
        <v>206.65000000000003</v>
      </c>
      <c r="AL12" s="32">
        <f t="shared" si="1"/>
        <v>221.5</v>
      </c>
      <c r="AM12" s="32">
        <f t="shared" si="2"/>
        <v>2066.6</v>
      </c>
      <c r="AN12" s="32">
        <f t="shared" si="3"/>
        <v>2152.2600000000002</v>
      </c>
      <c r="AO12" s="34">
        <f t="shared" si="4"/>
        <v>0.93295711060948094</v>
      </c>
      <c r="AP12" s="34">
        <f t="shared" si="5"/>
        <v>0.96019997583935013</v>
      </c>
      <c r="AQ12" s="33">
        <f t="shared" si="6"/>
        <v>2459.7400000000007</v>
      </c>
      <c r="AR12" s="37">
        <f t="shared" si="7"/>
        <v>428.15000000000003</v>
      </c>
      <c r="AS12" s="37">
        <f t="shared" si="8"/>
        <v>4218.8600000000006</v>
      </c>
    </row>
    <row r="13" spans="1:45" x14ac:dyDescent="0.25">
      <c r="A13" s="26" t="s">
        <v>112</v>
      </c>
      <c r="B13" t="s">
        <v>113</v>
      </c>
      <c r="C13" s="25">
        <v>0</v>
      </c>
      <c r="D13" s="25">
        <v>0</v>
      </c>
      <c r="E13" s="25">
        <v>0</v>
      </c>
      <c r="F13" s="25">
        <v>0</v>
      </c>
      <c r="G13" s="25">
        <v>5.01</v>
      </c>
      <c r="H13" s="25">
        <v>5.01</v>
      </c>
      <c r="I13" s="25">
        <v>75.13</v>
      </c>
      <c r="J13" s="25">
        <v>15.03</v>
      </c>
      <c r="K13" s="25">
        <v>35.06</v>
      </c>
      <c r="L13" s="25">
        <v>20.03</v>
      </c>
      <c r="M13" s="25">
        <v>375.64</v>
      </c>
      <c r="N13" s="25">
        <v>225.38</v>
      </c>
      <c r="O13" s="25">
        <v>30.05</v>
      </c>
      <c r="P13" s="25">
        <v>65.11</v>
      </c>
      <c r="Q13" s="25">
        <v>400.68</v>
      </c>
      <c r="R13" s="25">
        <v>520.88</v>
      </c>
      <c r="S13" s="25">
        <v>30.05</v>
      </c>
      <c r="T13" s="25">
        <v>105.18</v>
      </c>
      <c r="U13" s="25">
        <v>370.63</v>
      </c>
      <c r="V13" s="25">
        <v>756.28</v>
      </c>
      <c r="W13" s="25">
        <v>145.25</v>
      </c>
      <c r="X13" s="25">
        <v>85.14</v>
      </c>
      <c r="Y13" s="25">
        <v>395.67</v>
      </c>
      <c r="Z13" s="25">
        <v>55.09</v>
      </c>
      <c r="AA13" s="25">
        <v>80.14</v>
      </c>
      <c r="AB13" s="25">
        <v>64.59</v>
      </c>
      <c r="AC13" s="25">
        <v>699.62</v>
      </c>
      <c r="AD13" s="25">
        <v>798.51</v>
      </c>
      <c r="AE13" s="25">
        <v>120.47</v>
      </c>
      <c r="AF13" s="25">
        <v>115.2</v>
      </c>
      <c r="AG13" s="25">
        <v>1102.4000000000001</v>
      </c>
      <c r="AH13" s="25">
        <v>937.12</v>
      </c>
      <c r="AI13" s="25" t="s">
        <v>94</v>
      </c>
      <c r="AJ13" s="25" t="s">
        <v>89</v>
      </c>
      <c r="AK13" s="32">
        <f t="shared" si="0"/>
        <v>446.03</v>
      </c>
      <c r="AL13" s="32">
        <f t="shared" si="1"/>
        <v>460.26000000000005</v>
      </c>
      <c r="AM13" s="32">
        <f t="shared" si="2"/>
        <v>3419.77</v>
      </c>
      <c r="AN13" s="32">
        <f t="shared" si="3"/>
        <v>3308.29</v>
      </c>
      <c r="AO13" s="34">
        <f t="shared" si="4"/>
        <v>0.96908269239125699</v>
      </c>
      <c r="AP13" s="34">
        <f t="shared" si="5"/>
        <v>1.0336971668142756</v>
      </c>
      <c r="AQ13" s="33">
        <f t="shared" si="6"/>
        <v>3716.2999999999997</v>
      </c>
      <c r="AR13" s="37">
        <f t="shared" si="7"/>
        <v>906.29</v>
      </c>
      <c r="AS13" s="37">
        <f t="shared" si="8"/>
        <v>6728.0599999999995</v>
      </c>
    </row>
    <row r="14" spans="1:45" x14ac:dyDescent="0.25">
      <c r="A14" s="26" t="s">
        <v>114</v>
      </c>
      <c r="B14" t="s">
        <v>115</v>
      </c>
      <c r="C14" s="25">
        <v>0</v>
      </c>
      <c r="D14" s="25">
        <v>0</v>
      </c>
      <c r="E14" s="25">
        <v>0</v>
      </c>
      <c r="F14" s="25">
        <v>0</v>
      </c>
      <c r="G14" s="25">
        <v>0</v>
      </c>
      <c r="H14" s="25">
        <v>0</v>
      </c>
      <c r="I14" s="25">
        <v>24.96</v>
      </c>
      <c r="J14" s="25">
        <v>0</v>
      </c>
      <c r="K14" s="25">
        <v>14.95</v>
      </c>
      <c r="L14" s="25">
        <v>4.97</v>
      </c>
      <c r="M14" s="25">
        <v>54.83</v>
      </c>
      <c r="N14" s="25">
        <v>29.92</v>
      </c>
      <c r="O14" s="25">
        <v>0</v>
      </c>
      <c r="P14" s="25">
        <v>0</v>
      </c>
      <c r="Q14" s="25">
        <v>79.77</v>
      </c>
      <c r="R14" s="25">
        <v>99.73</v>
      </c>
      <c r="S14" s="25">
        <v>0</v>
      </c>
      <c r="T14" s="25">
        <v>19.940000000000001</v>
      </c>
      <c r="U14" s="25">
        <v>55.02</v>
      </c>
      <c r="V14" s="25">
        <v>99.74</v>
      </c>
      <c r="W14" s="25">
        <v>4.97</v>
      </c>
      <c r="X14" s="25">
        <v>5.0199999999999996</v>
      </c>
      <c r="Y14" s="25">
        <v>89.73</v>
      </c>
      <c r="Z14" s="25">
        <v>39.93</v>
      </c>
      <c r="AA14" s="25">
        <v>25.03</v>
      </c>
      <c r="AB14" s="25">
        <v>15.04</v>
      </c>
      <c r="AC14" s="25">
        <v>125.14</v>
      </c>
      <c r="AD14" s="25">
        <v>145.35</v>
      </c>
      <c r="AE14" s="25">
        <v>4.97</v>
      </c>
      <c r="AF14" s="25">
        <v>14.98</v>
      </c>
      <c r="AG14" s="25">
        <v>164.01</v>
      </c>
      <c r="AH14" s="25">
        <v>194.03</v>
      </c>
      <c r="AI14" s="25" t="s">
        <v>94</v>
      </c>
      <c r="AJ14" s="25" t="s">
        <v>89</v>
      </c>
      <c r="AK14" s="32">
        <f t="shared" si="0"/>
        <v>49.92</v>
      </c>
      <c r="AL14" s="32">
        <f t="shared" si="1"/>
        <v>59.95</v>
      </c>
      <c r="AM14" s="32">
        <f t="shared" si="2"/>
        <v>593.46</v>
      </c>
      <c r="AN14" s="32">
        <f t="shared" si="3"/>
        <v>608.69999999999993</v>
      </c>
      <c r="AO14" s="34">
        <f t="shared" si="4"/>
        <v>0.83269391159299411</v>
      </c>
      <c r="AP14" s="34">
        <f t="shared" si="5"/>
        <v>0.97496303597831457</v>
      </c>
      <c r="AQ14" s="33">
        <f t="shared" si="6"/>
        <v>623.4799999999999</v>
      </c>
      <c r="AR14" s="37">
        <f t="shared" si="7"/>
        <v>109.87</v>
      </c>
      <c r="AS14" s="37">
        <f t="shared" si="8"/>
        <v>1202.1599999999999</v>
      </c>
    </row>
    <row r="15" spans="1:45" x14ac:dyDescent="0.25">
      <c r="A15" s="26" t="s">
        <v>116</v>
      </c>
      <c r="B15" t="s">
        <v>117</v>
      </c>
      <c r="C15" s="25">
        <v>0</v>
      </c>
      <c r="D15" s="25">
        <v>0</v>
      </c>
      <c r="E15" s="25">
        <v>10.029999999999999</v>
      </c>
      <c r="F15" s="25">
        <v>0</v>
      </c>
      <c r="G15" s="25">
        <v>30.07</v>
      </c>
      <c r="H15" s="25">
        <v>5.01</v>
      </c>
      <c r="I15" s="25">
        <v>105.24</v>
      </c>
      <c r="J15" s="25">
        <v>20.05</v>
      </c>
      <c r="K15" s="25">
        <v>40.11</v>
      </c>
      <c r="L15" s="25">
        <v>10.02</v>
      </c>
      <c r="M15" s="25">
        <v>531.24</v>
      </c>
      <c r="N15" s="25">
        <v>345.84</v>
      </c>
      <c r="O15" s="25">
        <v>30.07</v>
      </c>
      <c r="P15" s="25">
        <v>35.1</v>
      </c>
      <c r="Q15" s="25">
        <v>190.51</v>
      </c>
      <c r="R15" s="25">
        <v>340.8</v>
      </c>
      <c r="S15" s="25">
        <v>20.05</v>
      </c>
      <c r="T15" s="25">
        <v>60.14</v>
      </c>
      <c r="U15" s="25">
        <v>200.36</v>
      </c>
      <c r="V15" s="25">
        <v>265.66000000000003</v>
      </c>
      <c r="W15" s="25">
        <v>25.07</v>
      </c>
      <c r="X15" s="25">
        <v>10.02</v>
      </c>
      <c r="Y15" s="25">
        <v>130.33000000000001</v>
      </c>
      <c r="Z15" s="25">
        <v>20.05</v>
      </c>
      <c r="AA15" s="25">
        <v>35.08</v>
      </c>
      <c r="AB15" s="25">
        <v>55.15</v>
      </c>
      <c r="AC15" s="25">
        <v>361.04</v>
      </c>
      <c r="AD15" s="25">
        <v>341.01</v>
      </c>
      <c r="AE15" s="25">
        <v>20.05</v>
      </c>
      <c r="AF15" s="25">
        <v>45.1</v>
      </c>
      <c r="AG15" s="25">
        <v>616.24</v>
      </c>
      <c r="AH15" s="25">
        <v>711.49</v>
      </c>
      <c r="AI15" s="25" t="s">
        <v>88</v>
      </c>
      <c r="AJ15" s="25" t="s">
        <v>89</v>
      </c>
      <c r="AK15" s="32">
        <f t="shared" si="0"/>
        <v>200.5</v>
      </c>
      <c r="AL15" s="32">
        <f t="shared" si="1"/>
        <v>220.54</v>
      </c>
      <c r="AM15" s="32">
        <f t="shared" si="2"/>
        <v>2144.9899999999998</v>
      </c>
      <c r="AN15" s="32">
        <f t="shared" si="3"/>
        <v>2044.9</v>
      </c>
      <c r="AO15" s="34">
        <f t="shared" si="4"/>
        <v>0.90913213022580941</v>
      </c>
      <c r="AP15" s="34">
        <f t="shared" si="5"/>
        <v>1.0489461587363684</v>
      </c>
      <c r="AQ15" s="33">
        <f t="shared" si="6"/>
        <v>2425.77</v>
      </c>
      <c r="AR15" s="37">
        <f t="shared" si="7"/>
        <v>421.03999999999996</v>
      </c>
      <c r="AS15" s="37">
        <f t="shared" si="8"/>
        <v>4189.8899999999994</v>
      </c>
    </row>
    <row r="16" spans="1:45" x14ac:dyDescent="0.25">
      <c r="A16" s="26" t="s">
        <v>118</v>
      </c>
      <c r="B16" t="s">
        <v>119</v>
      </c>
      <c r="C16" s="25">
        <v>0</v>
      </c>
      <c r="D16" s="25">
        <v>0</v>
      </c>
      <c r="E16" s="25">
        <v>5</v>
      </c>
      <c r="F16" s="25">
        <v>0</v>
      </c>
      <c r="G16" s="25">
        <v>0</v>
      </c>
      <c r="H16" s="25">
        <v>0</v>
      </c>
      <c r="I16" s="25">
        <v>5</v>
      </c>
      <c r="J16" s="25">
        <v>0</v>
      </c>
      <c r="K16" s="25">
        <v>0</v>
      </c>
      <c r="L16" s="25">
        <v>0</v>
      </c>
      <c r="M16" s="25">
        <v>0</v>
      </c>
      <c r="N16" s="25">
        <v>0</v>
      </c>
      <c r="O16" s="25">
        <v>0</v>
      </c>
      <c r="P16" s="25">
        <v>0</v>
      </c>
      <c r="Q16" s="25">
        <v>10</v>
      </c>
      <c r="R16" s="25">
        <v>0</v>
      </c>
      <c r="S16" s="25">
        <v>0</v>
      </c>
      <c r="T16" s="25">
        <v>5</v>
      </c>
      <c r="U16" s="25">
        <v>5</v>
      </c>
      <c r="V16" s="25">
        <v>25</v>
      </c>
      <c r="W16" s="25">
        <v>0</v>
      </c>
      <c r="X16" s="25">
        <v>0</v>
      </c>
      <c r="Y16" s="25">
        <v>15</v>
      </c>
      <c r="Z16" s="25">
        <v>5</v>
      </c>
      <c r="AA16" s="25">
        <v>0</v>
      </c>
      <c r="AB16" s="25">
        <v>0</v>
      </c>
      <c r="AC16" s="25">
        <v>5</v>
      </c>
      <c r="AD16" s="25">
        <v>10</v>
      </c>
      <c r="AE16" s="25">
        <v>0</v>
      </c>
      <c r="AF16" s="25">
        <v>0</v>
      </c>
      <c r="AG16" s="25">
        <v>10</v>
      </c>
      <c r="AH16" s="25">
        <v>20</v>
      </c>
      <c r="AI16" s="25" t="s">
        <v>88</v>
      </c>
      <c r="AJ16" s="25" t="s">
        <v>89</v>
      </c>
      <c r="AK16" s="32">
        <f t="shared" si="0"/>
        <v>0</v>
      </c>
      <c r="AL16" s="32">
        <f t="shared" si="1"/>
        <v>5</v>
      </c>
      <c r="AM16" s="32">
        <f t="shared" si="2"/>
        <v>55</v>
      </c>
      <c r="AN16" s="32">
        <f t="shared" si="3"/>
        <v>60</v>
      </c>
      <c r="AO16" s="34">
        <f t="shared" si="4"/>
        <v>0</v>
      </c>
      <c r="AP16" s="34">
        <f t="shared" si="5"/>
        <v>0.91666666666666663</v>
      </c>
      <c r="AQ16" s="33">
        <f t="shared" si="6"/>
        <v>75</v>
      </c>
      <c r="AR16" s="37">
        <f t="shared" si="7"/>
        <v>5</v>
      </c>
      <c r="AS16" s="37">
        <f t="shared" si="8"/>
        <v>115</v>
      </c>
    </row>
    <row r="17" spans="1:45" x14ac:dyDescent="0.25">
      <c r="A17" s="26" t="s">
        <v>120</v>
      </c>
      <c r="B17" t="s">
        <v>121</v>
      </c>
      <c r="C17" s="25">
        <v>0</v>
      </c>
      <c r="D17" s="25">
        <v>0</v>
      </c>
      <c r="E17" s="25">
        <v>5</v>
      </c>
      <c r="F17" s="25">
        <v>0</v>
      </c>
      <c r="G17" s="25">
        <v>0</v>
      </c>
      <c r="H17" s="25">
        <v>0</v>
      </c>
      <c r="I17" s="25">
        <v>0</v>
      </c>
      <c r="J17" s="25">
        <v>0</v>
      </c>
      <c r="K17" s="25">
        <v>0</v>
      </c>
      <c r="L17" s="25">
        <v>0</v>
      </c>
      <c r="M17" s="25">
        <v>15</v>
      </c>
      <c r="N17" s="25">
        <v>5</v>
      </c>
      <c r="O17" s="25">
        <v>0</v>
      </c>
      <c r="P17" s="25">
        <v>0</v>
      </c>
      <c r="Q17" s="25">
        <v>15</v>
      </c>
      <c r="R17" s="25">
        <v>45</v>
      </c>
      <c r="S17" s="25">
        <v>0</v>
      </c>
      <c r="T17" s="25">
        <v>0</v>
      </c>
      <c r="U17" s="25">
        <v>0</v>
      </c>
      <c r="V17" s="25">
        <v>40</v>
      </c>
      <c r="W17" s="25">
        <v>5</v>
      </c>
      <c r="X17" s="25">
        <v>0</v>
      </c>
      <c r="Y17" s="25">
        <v>40</v>
      </c>
      <c r="Z17" s="25">
        <v>10</v>
      </c>
      <c r="AA17" s="25">
        <v>0</v>
      </c>
      <c r="AB17" s="25">
        <v>5</v>
      </c>
      <c r="AC17" s="25">
        <v>65</v>
      </c>
      <c r="AD17" s="25">
        <v>40</v>
      </c>
      <c r="AE17" s="25">
        <v>0</v>
      </c>
      <c r="AF17" s="25">
        <v>0</v>
      </c>
      <c r="AG17" s="25">
        <v>40</v>
      </c>
      <c r="AH17" s="25">
        <v>65</v>
      </c>
      <c r="AI17" s="25" t="s">
        <v>94</v>
      </c>
      <c r="AJ17" s="25" t="s">
        <v>89</v>
      </c>
      <c r="AK17" s="32">
        <f t="shared" si="0"/>
        <v>5</v>
      </c>
      <c r="AL17" s="32">
        <f t="shared" si="1"/>
        <v>5</v>
      </c>
      <c r="AM17" s="32">
        <f t="shared" si="2"/>
        <v>180</v>
      </c>
      <c r="AN17" s="32">
        <f t="shared" si="3"/>
        <v>205</v>
      </c>
      <c r="AO17" s="34">
        <f t="shared" si="4"/>
        <v>1</v>
      </c>
      <c r="AP17" s="34">
        <f t="shared" si="5"/>
        <v>0.87804878048780488</v>
      </c>
      <c r="AQ17" s="33">
        <f t="shared" si="6"/>
        <v>180</v>
      </c>
      <c r="AR17" s="37">
        <f t="shared" si="7"/>
        <v>10</v>
      </c>
      <c r="AS17" s="37">
        <f t="shared" si="8"/>
        <v>385</v>
      </c>
    </row>
    <row r="18" spans="1:45" x14ac:dyDescent="0.25">
      <c r="A18" s="26" t="s">
        <v>122</v>
      </c>
      <c r="B18" t="s">
        <v>123</v>
      </c>
      <c r="C18" s="25">
        <v>0</v>
      </c>
      <c r="D18" s="25">
        <v>0</v>
      </c>
      <c r="E18" s="25">
        <v>0</v>
      </c>
      <c r="F18" s="25">
        <v>0</v>
      </c>
      <c r="G18" s="25">
        <v>0</v>
      </c>
      <c r="H18" s="25">
        <v>0</v>
      </c>
      <c r="I18" s="25">
        <v>0</v>
      </c>
      <c r="J18" s="25">
        <v>0</v>
      </c>
      <c r="K18" s="25">
        <v>0</v>
      </c>
      <c r="L18" s="25">
        <v>0</v>
      </c>
      <c r="M18" s="25">
        <v>9.6199999999999992</v>
      </c>
      <c r="N18" s="25">
        <v>0</v>
      </c>
      <c r="O18" s="25">
        <v>0</v>
      </c>
      <c r="P18" s="25">
        <v>0</v>
      </c>
      <c r="Q18" s="25">
        <v>4.8099999999999996</v>
      </c>
      <c r="R18" s="25">
        <v>4.8099999999999996</v>
      </c>
      <c r="S18" s="25">
        <v>0</v>
      </c>
      <c r="T18" s="25">
        <v>0</v>
      </c>
      <c r="U18" s="25">
        <v>0</v>
      </c>
      <c r="V18" s="25">
        <v>14.44</v>
      </c>
      <c r="W18" s="25">
        <v>0</v>
      </c>
      <c r="X18" s="25">
        <v>0</v>
      </c>
      <c r="Y18" s="25">
        <v>4.8099999999999996</v>
      </c>
      <c r="Z18" s="25">
        <v>0</v>
      </c>
      <c r="AA18" s="25">
        <v>4.8099999999999996</v>
      </c>
      <c r="AB18" s="25">
        <v>4.8099999999999996</v>
      </c>
      <c r="AC18" s="25">
        <v>9.6199999999999992</v>
      </c>
      <c r="AD18" s="25">
        <v>4.8099999999999996</v>
      </c>
      <c r="AE18" s="25">
        <v>0</v>
      </c>
      <c r="AF18" s="25">
        <v>0</v>
      </c>
      <c r="AG18" s="25">
        <v>4.8099999999999996</v>
      </c>
      <c r="AH18" s="25">
        <v>14.44</v>
      </c>
      <c r="AI18" s="25" t="s">
        <v>88</v>
      </c>
      <c r="AJ18" s="25" t="s">
        <v>89</v>
      </c>
      <c r="AK18" s="32">
        <f t="shared" si="0"/>
        <v>4.8099999999999996</v>
      </c>
      <c r="AL18" s="32">
        <f t="shared" si="1"/>
        <v>4.8099999999999996</v>
      </c>
      <c r="AM18" s="32">
        <f t="shared" si="2"/>
        <v>33.67</v>
      </c>
      <c r="AN18" s="32">
        <f t="shared" si="3"/>
        <v>38.5</v>
      </c>
      <c r="AO18" s="34">
        <f t="shared" si="4"/>
        <v>1</v>
      </c>
      <c r="AP18" s="34">
        <f t="shared" si="5"/>
        <v>0.87454545454545463</v>
      </c>
      <c r="AQ18" s="33">
        <f t="shared" si="6"/>
        <v>38.49</v>
      </c>
      <c r="AR18" s="37">
        <f t="shared" si="7"/>
        <v>9.6199999999999992</v>
      </c>
      <c r="AS18" s="37">
        <f t="shared" si="8"/>
        <v>72.17</v>
      </c>
    </row>
    <row r="19" spans="1:45" x14ac:dyDescent="0.25">
      <c r="A19" s="26" t="s">
        <v>124</v>
      </c>
      <c r="B19" t="s">
        <v>125</v>
      </c>
      <c r="C19" s="25">
        <v>0</v>
      </c>
      <c r="D19" s="25">
        <v>0</v>
      </c>
      <c r="E19" s="25">
        <v>0</v>
      </c>
      <c r="F19" s="25">
        <v>0</v>
      </c>
      <c r="G19" s="25">
        <v>0</v>
      </c>
      <c r="H19" s="25">
        <v>0</v>
      </c>
      <c r="I19" s="25">
        <v>20</v>
      </c>
      <c r="J19" s="25">
        <v>5</v>
      </c>
      <c r="K19" s="25">
        <v>5</v>
      </c>
      <c r="L19" s="25">
        <v>0</v>
      </c>
      <c r="M19" s="25">
        <v>40</v>
      </c>
      <c r="N19" s="25">
        <v>25</v>
      </c>
      <c r="O19" s="25">
        <v>0</v>
      </c>
      <c r="P19" s="25">
        <v>0</v>
      </c>
      <c r="Q19" s="25">
        <v>35</v>
      </c>
      <c r="R19" s="25">
        <v>50</v>
      </c>
      <c r="S19" s="25">
        <v>0</v>
      </c>
      <c r="T19" s="25">
        <v>10</v>
      </c>
      <c r="U19" s="25">
        <v>10</v>
      </c>
      <c r="V19" s="25">
        <v>30</v>
      </c>
      <c r="W19" s="25">
        <v>5</v>
      </c>
      <c r="X19" s="25">
        <v>0</v>
      </c>
      <c r="Y19" s="25">
        <v>25</v>
      </c>
      <c r="Z19" s="25">
        <v>5</v>
      </c>
      <c r="AA19" s="25">
        <v>10</v>
      </c>
      <c r="AB19" s="25">
        <v>10</v>
      </c>
      <c r="AC19" s="25">
        <v>40</v>
      </c>
      <c r="AD19" s="25">
        <v>75</v>
      </c>
      <c r="AE19" s="25">
        <v>0</v>
      </c>
      <c r="AF19" s="25">
        <v>0</v>
      </c>
      <c r="AG19" s="25">
        <v>95</v>
      </c>
      <c r="AH19" s="25">
        <v>50</v>
      </c>
      <c r="AI19" s="25" t="s">
        <v>88</v>
      </c>
      <c r="AJ19" s="25" t="s">
        <v>89</v>
      </c>
      <c r="AK19" s="32">
        <f t="shared" si="0"/>
        <v>20</v>
      </c>
      <c r="AL19" s="32">
        <f t="shared" si="1"/>
        <v>20</v>
      </c>
      <c r="AM19" s="32">
        <f t="shared" si="2"/>
        <v>265</v>
      </c>
      <c r="AN19" s="32">
        <f t="shared" si="3"/>
        <v>240</v>
      </c>
      <c r="AO19" s="34">
        <f t="shared" si="4"/>
        <v>1</v>
      </c>
      <c r="AP19" s="34">
        <f t="shared" si="5"/>
        <v>1.1041666666666667</v>
      </c>
      <c r="AQ19" s="33">
        <f t="shared" si="6"/>
        <v>265</v>
      </c>
      <c r="AR19" s="37">
        <f t="shared" si="7"/>
        <v>40</v>
      </c>
      <c r="AS19" s="37">
        <f t="shared" si="8"/>
        <v>505</v>
      </c>
    </row>
    <row r="20" spans="1:45" x14ac:dyDescent="0.25">
      <c r="A20" s="26" t="s">
        <v>126</v>
      </c>
      <c r="B20" t="s">
        <v>127</v>
      </c>
      <c r="C20" s="25">
        <v>0</v>
      </c>
      <c r="D20" s="25">
        <v>0</v>
      </c>
      <c r="E20" s="25">
        <v>0</v>
      </c>
      <c r="F20" s="25">
        <v>0</v>
      </c>
      <c r="G20" s="25">
        <v>10</v>
      </c>
      <c r="H20" s="25">
        <v>0</v>
      </c>
      <c r="I20" s="25">
        <v>15</v>
      </c>
      <c r="J20" s="25">
        <v>5</v>
      </c>
      <c r="K20" s="25">
        <v>0</v>
      </c>
      <c r="L20" s="25">
        <v>0</v>
      </c>
      <c r="M20" s="25">
        <v>55</v>
      </c>
      <c r="N20" s="25">
        <v>30</v>
      </c>
      <c r="O20" s="25">
        <v>0</v>
      </c>
      <c r="P20" s="25">
        <v>10</v>
      </c>
      <c r="Q20" s="25">
        <v>105</v>
      </c>
      <c r="R20" s="25">
        <v>80</v>
      </c>
      <c r="S20" s="25">
        <v>0</v>
      </c>
      <c r="T20" s="25">
        <v>40</v>
      </c>
      <c r="U20" s="25">
        <v>35</v>
      </c>
      <c r="V20" s="25">
        <v>140</v>
      </c>
      <c r="W20" s="25">
        <v>55</v>
      </c>
      <c r="X20" s="25">
        <v>5</v>
      </c>
      <c r="Y20" s="25">
        <v>140</v>
      </c>
      <c r="Z20" s="25">
        <v>15</v>
      </c>
      <c r="AA20" s="25">
        <v>15</v>
      </c>
      <c r="AB20" s="25">
        <v>10</v>
      </c>
      <c r="AC20" s="25">
        <v>110</v>
      </c>
      <c r="AD20" s="25">
        <v>115</v>
      </c>
      <c r="AE20" s="25">
        <v>0</v>
      </c>
      <c r="AF20" s="25">
        <v>5</v>
      </c>
      <c r="AG20" s="25">
        <v>155</v>
      </c>
      <c r="AH20" s="25">
        <v>175</v>
      </c>
      <c r="AI20" s="25" t="s">
        <v>94</v>
      </c>
      <c r="AJ20" s="25" t="s">
        <v>89</v>
      </c>
      <c r="AK20" s="32">
        <f t="shared" si="0"/>
        <v>80</v>
      </c>
      <c r="AL20" s="32">
        <f t="shared" si="1"/>
        <v>70</v>
      </c>
      <c r="AM20" s="32">
        <f t="shared" si="2"/>
        <v>615</v>
      </c>
      <c r="AN20" s="32">
        <f t="shared" si="3"/>
        <v>560</v>
      </c>
      <c r="AO20" s="34">
        <f t="shared" si="4"/>
        <v>1.1428571428571428</v>
      </c>
      <c r="AP20" s="34">
        <f t="shared" si="5"/>
        <v>1.0982142857142858</v>
      </c>
      <c r="AQ20" s="33">
        <f t="shared" si="6"/>
        <v>740</v>
      </c>
      <c r="AR20" s="37">
        <f t="shared" si="7"/>
        <v>150</v>
      </c>
      <c r="AS20" s="37">
        <f t="shared" si="8"/>
        <v>1175</v>
      </c>
    </row>
    <row r="21" spans="1:45" x14ac:dyDescent="0.25">
      <c r="A21" s="26" t="s">
        <v>128</v>
      </c>
      <c r="B21" t="s">
        <v>129</v>
      </c>
      <c r="C21" s="25">
        <v>0</v>
      </c>
      <c r="D21" s="25">
        <v>0</v>
      </c>
      <c r="E21" s="25">
        <v>9.8800000000000008</v>
      </c>
      <c r="F21" s="25">
        <v>4.9000000000000004</v>
      </c>
      <c r="G21" s="25">
        <v>4.9800000000000004</v>
      </c>
      <c r="H21" s="25">
        <v>4.9800000000000004</v>
      </c>
      <c r="I21" s="25">
        <v>10.39</v>
      </c>
      <c r="J21" s="25">
        <v>4.9000000000000004</v>
      </c>
      <c r="K21" s="25">
        <v>0</v>
      </c>
      <c r="L21" s="25">
        <v>0</v>
      </c>
      <c r="M21" s="25">
        <v>50.34</v>
      </c>
      <c r="N21" s="25">
        <v>5.07</v>
      </c>
      <c r="O21" s="25">
        <v>0</v>
      </c>
      <c r="P21" s="25">
        <v>0</v>
      </c>
      <c r="Q21" s="25">
        <v>25.42</v>
      </c>
      <c r="R21" s="25">
        <v>70.599999999999994</v>
      </c>
      <c r="S21" s="25">
        <v>0</v>
      </c>
      <c r="T21" s="25">
        <v>0</v>
      </c>
      <c r="U21" s="25">
        <v>14.95</v>
      </c>
      <c r="V21" s="25">
        <v>60.64</v>
      </c>
      <c r="W21" s="25">
        <v>4.9000000000000004</v>
      </c>
      <c r="X21" s="25">
        <v>0</v>
      </c>
      <c r="Y21" s="25">
        <v>66.3</v>
      </c>
      <c r="Z21" s="25">
        <v>14.87</v>
      </c>
      <c r="AA21" s="25">
        <v>0</v>
      </c>
      <c r="AB21" s="25">
        <v>0</v>
      </c>
      <c r="AC21" s="25">
        <v>56.75</v>
      </c>
      <c r="AD21" s="25">
        <v>46.45</v>
      </c>
      <c r="AE21" s="25">
        <v>0</v>
      </c>
      <c r="AF21" s="25">
        <v>0</v>
      </c>
      <c r="AG21" s="25">
        <v>159.57</v>
      </c>
      <c r="AH21" s="25">
        <v>74.84</v>
      </c>
      <c r="AI21" s="25" t="s">
        <v>88</v>
      </c>
      <c r="AJ21" s="25" t="s">
        <v>89</v>
      </c>
      <c r="AK21" s="32">
        <f t="shared" si="0"/>
        <v>9.8800000000000008</v>
      </c>
      <c r="AL21" s="32">
        <f t="shared" si="1"/>
        <v>4.9800000000000004</v>
      </c>
      <c r="AM21" s="32">
        <f t="shared" si="2"/>
        <v>393.6</v>
      </c>
      <c r="AN21" s="32">
        <f t="shared" si="3"/>
        <v>282.27</v>
      </c>
      <c r="AO21" s="34">
        <f t="shared" si="4"/>
        <v>1.9839357429718876</v>
      </c>
      <c r="AP21" s="34">
        <f t="shared" si="5"/>
        <v>1.3944096078222981</v>
      </c>
      <c r="AQ21" s="33">
        <f t="shared" si="6"/>
        <v>353.11999999999995</v>
      </c>
      <c r="AR21" s="37">
        <f t="shared" si="7"/>
        <v>14.860000000000001</v>
      </c>
      <c r="AS21" s="37">
        <f t="shared" si="8"/>
        <v>675.87</v>
      </c>
    </row>
    <row r="22" spans="1:45" x14ac:dyDescent="0.25">
      <c r="A22" s="26" t="s">
        <v>130</v>
      </c>
      <c r="B22" t="s">
        <v>131</v>
      </c>
      <c r="C22" s="25">
        <v>0</v>
      </c>
      <c r="D22" s="25">
        <v>0</v>
      </c>
      <c r="E22" s="25">
        <v>0</v>
      </c>
      <c r="F22" s="25">
        <v>0</v>
      </c>
      <c r="G22" s="25">
        <v>0</v>
      </c>
      <c r="H22" s="25">
        <v>0</v>
      </c>
      <c r="I22" s="25">
        <v>70</v>
      </c>
      <c r="J22" s="25">
        <v>15</v>
      </c>
      <c r="K22" s="25">
        <v>10</v>
      </c>
      <c r="L22" s="25">
        <v>0</v>
      </c>
      <c r="M22" s="25">
        <v>270</v>
      </c>
      <c r="N22" s="25">
        <v>140</v>
      </c>
      <c r="O22" s="25">
        <v>10</v>
      </c>
      <c r="P22" s="25">
        <v>10</v>
      </c>
      <c r="Q22" s="25">
        <v>270</v>
      </c>
      <c r="R22" s="25">
        <v>400</v>
      </c>
      <c r="S22" s="25">
        <v>0</v>
      </c>
      <c r="T22" s="25">
        <v>30</v>
      </c>
      <c r="U22" s="25">
        <v>140</v>
      </c>
      <c r="V22" s="25">
        <v>405</v>
      </c>
      <c r="W22" s="25">
        <v>30</v>
      </c>
      <c r="X22" s="25">
        <v>5</v>
      </c>
      <c r="Y22" s="25">
        <v>215</v>
      </c>
      <c r="Z22" s="25">
        <v>20</v>
      </c>
      <c r="AA22" s="25">
        <v>20</v>
      </c>
      <c r="AB22" s="25">
        <v>10</v>
      </c>
      <c r="AC22" s="25">
        <v>370</v>
      </c>
      <c r="AD22" s="25">
        <v>380</v>
      </c>
      <c r="AE22" s="25">
        <v>35</v>
      </c>
      <c r="AF22" s="25">
        <v>20</v>
      </c>
      <c r="AG22" s="25">
        <v>555</v>
      </c>
      <c r="AH22" s="25">
        <v>470</v>
      </c>
      <c r="AI22" s="25" t="s">
        <v>94</v>
      </c>
      <c r="AJ22" s="25" t="s">
        <v>89</v>
      </c>
      <c r="AK22" s="32">
        <f t="shared" si="0"/>
        <v>105</v>
      </c>
      <c r="AL22" s="32">
        <f t="shared" si="1"/>
        <v>75</v>
      </c>
      <c r="AM22" s="32">
        <f t="shared" si="2"/>
        <v>1890</v>
      </c>
      <c r="AN22" s="32">
        <f t="shared" si="3"/>
        <v>1830</v>
      </c>
      <c r="AO22" s="34">
        <f t="shared" si="4"/>
        <v>1.4</v>
      </c>
      <c r="AP22" s="34">
        <f t="shared" si="5"/>
        <v>1.0327868852459017</v>
      </c>
      <c r="AQ22" s="33">
        <f t="shared" si="6"/>
        <v>2040</v>
      </c>
      <c r="AR22" s="37">
        <f t="shared" si="7"/>
        <v>180</v>
      </c>
      <c r="AS22" s="37">
        <f t="shared" si="8"/>
        <v>3720</v>
      </c>
    </row>
    <row r="23" spans="1:45" x14ac:dyDescent="0.25">
      <c r="A23" s="26" t="s">
        <v>132</v>
      </c>
      <c r="B23" t="s">
        <v>133</v>
      </c>
      <c r="C23" s="25">
        <v>0</v>
      </c>
      <c r="D23" s="25">
        <v>0</v>
      </c>
      <c r="E23" s="25">
        <v>0</v>
      </c>
      <c r="F23" s="25">
        <v>0</v>
      </c>
      <c r="G23" s="25">
        <v>30.65</v>
      </c>
      <c r="H23" s="25">
        <v>20.58</v>
      </c>
      <c r="I23" s="25">
        <v>146.88</v>
      </c>
      <c r="J23" s="25">
        <v>36.75</v>
      </c>
      <c r="K23" s="25">
        <v>31.58</v>
      </c>
      <c r="L23" s="25">
        <v>36.75</v>
      </c>
      <c r="M23" s="25">
        <v>599.52</v>
      </c>
      <c r="N23" s="25">
        <v>306.25</v>
      </c>
      <c r="O23" s="25">
        <v>73.14</v>
      </c>
      <c r="P23" s="25">
        <v>57.76</v>
      </c>
      <c r="Q23" s="25">
        <v>603.55999999999995</v>
      </c>
      <c r="R23" s="25">
        <v>750.33</v>
      </c>
      <c r="S23" s="25">
        <v>25.39</v>
      </c>
      <c r="T23" s="25">
        <v>67.8</v>
      </c>
      <c r="U23" s="25">
        <v>350.58</v>
      </c>
      <c r="V23" s="25">
        <v>879.97</v>
      </c>
      <c r="W23" s="25">
        <v>63.02</v>
      </c>
      <c r="X23" s="25">
        <v>15.27</v>
      </c>
      <c r="Y23" s="25">
        <v>483</v>
      </c>
      <c r="Z23" s="25">
        <v>90.12</v>
      </c>
      <c r="AA23" s="25">
        <v>85.55</v>
      </c>
      <c r="AB23" s="25">
        <v>97.17</v>
      </c>
      <c r="AC23" s="25">
        <v>719.31</v>
      </c>
      <c r="AD23" s="25">
        <v>929.38</v>
      </c>
      <c r="AE23" s="25">
        <v>44.09</v>
      </c>
      <c r="AF23" s="25">
        <v>82.65</v>
      </c>
      <c r="AG23" s="25">
        <v>1249.72</v>
      </c>
      <c r="AH23" s="25">
        <v>1518.83</v>
      </c>
      <c r="AI23" s="25" t="s">
        <v>88</v>
      </c>
      <c r="AJ23" s="25" t="s">
        <v>89</v>
      </c>
      <c r="AK23" s="32">
        <f t="shared" si="0"/>
        <v>353.41999999999996</v>
      </c>
      <c r="AL23" s="32">
        <f t="shared" si="1"/>
        <v>377.98</v>
      </c>
      <c r="AM23" s="32">
        <f t="shared" si="2"/>
        <v>4152.57</v>
      </c>
      <c r="AN23" s="32">
        <f t="shared" si="3"/>
        <v>4511.63</v>
      </c>
      <c r="AO23" s="34">
        <f t="shared" si="4"/>
        <v>0.93502301709085123</v>
      </c>
      <c r="AP23" s="34">
        <f t="shared" si="5"/>
        <v>0.92041457300354856</v>
      </c>
      <c r="AQ23" s="33">
        <f t="shared" si="6"/>
        <v>4668.8999999999996</v>
      </c>
      <c r="AR23" s="37">
        <f t="shared" si="7"/>
        <v>731.4</v>
      </c>
      <c r="AS23" s="37">
        <f t="shared" si="8"/>
        <v>8664.2000000000007</v>
      </c>
    </row>
    <row r="24" spans="1:45" x14ac:dyDescent="0.25">
      <c r="A24" s="26" t="s">
        <v>134</v>
      </c>
      <c r="B24" t="s">
        <v>135</v>
      </c>
      <c r="C24" s="25">
        <v>0</v>
      </c>
      <c r="D24" s="25">
        <v>0</v>
      </c>
      <c r="E24" s="25">
        <v>0</v>
      </c>
      <c r="F24" s="25">
        <v>0</v>
      </c>
      <c r="G24" s="25">
        <v>0</v>
      </c>
      <c r="H24" s="25">
        <v>0</v>
      </c>
      <c r="I24" s="25">
        <v>5</v>
      </c>
      <c r="J24" s="25">
        <v>0</v>
      </c>
      <c r="K24" s="25">
        <v>5</v>
      </c>
      <c r="L24" s="25">
        <v>0</v>
      </c>
      <c r="M24" s="25">
        <v>105</v>
      </c>
      <c r="N24" s="25">
        <v>55</v>
      </c>
      <c r="O24" s="25">
        <v>0</v>
      </c>
      <c r="P24" s="25">
        <v>5</v>
      </c>
      <c r="Q24" s="25">
        <v>25</v>
      </c>
      <c r="R24" s="25">
        <v>60</v>
      </c>
      <c r="S24" s="25">
        <v>0</v>
      </c>
      <c r="T24" s="25">
        <v>10</v>
      </c>
      <c r="U24" s="25">
        <v>0</v>
      </c>
      <c r="V24" s="25">
        <v>10</v>
      </c>
      <c r="W24" s="25">
        <v>5</v>
      </c>
      <c r="X24" s="25">
        <v>0</v>
      </c>
      <c r="Y24" s="25">
        <v>0</v>
      </c>
      <c r="Z24" s="25">
        <v>0</v>
      </c>
      <c r="AA24" s="25">
        <v>0</v>
      </c>
      <c r="AB24" s="25">
        <v>0</v>
      </c>
      <c r="AC24" s="25">
        <v>60</v>
      </c>
      <c r="AD24" s="25">
        <v>65</v>
      </c>
      <c r="AE24" s="25">
        <v>0</v>
      </c>
      <c r="AF24" s="25">
        <v>10</v>
      </c>
      <c r="AG24" s="25">
        <v>95</v>
      </c>
      <c r="AH24" s="25">
        <v>115</v>
      </c>
      <c r="AI24" s="25" t="s">
        <v>94</v>
      </c>
      <c r="AJ24" s="25" t="s">
        <v>89</v>
      </c>
      <c r="AK24" s="32">
        <f t="shared" si="0"/>
        <v>10</v>
      </c>
      <c r="AL24" s="32">
        <f t="shared" si="1"/>
        <v>25</v>
      </c>
      <c r="AM24" s="32">
        <f t="shared" si="2"/>
        <v>290</v>
      </c>
      <c r="AN24" s="32">
        <f t="shared" si="3"/>
        <v>305</v>
      </c>
      <c r="AO24" s="34">
        <f t="shared" si="4"/>
        <v>0.4</v>
      </c>
      <c r="AP24" s="34">
        <f t="shared" si="5"/>
        <v>0.95081967213114749</v>
      </c>
      <c r="AQ24" s="33">
        <f t="shared" si="6"/>
        <v>285</v>
      </c>
      <c r="AR24" s="37">
        <f t="shared" si="7"/>
        <v>35</v>
      </c>
      <c r="AS24" s="37">
        <f t="shared" si="8"/>
        <v>595</v>
      </c>
    </row>
    <row r="25" spans="1:45" x14ac:dyDescent="0.25">
      <c r="A25" s="26" t="s">
        <v>136</v>
      </c>
      <c r="B25" t="s">
        <v>137</v>
      </c>
      <c r="C25" s="25">
        <v>0</v>
      </c>
      <c r="D25" s="25">
        <v>0</v>
      </c>
      <c r="E25" s="25">
        <v>0</v>
      </c>
      <c r="F25" s="25">
        <v>0</v>
      </c>
      <c r="G25" s="25">
        <v>0</v>
      </c>
      <c r="H25" s="25">
        <v>0</v>
      </c>
      <c r="I25" s="25">
        <v>31.05</v>
      </c>
      <c r="J25" s="25">
        <v>5.18</v>
      </c>
      <c r="K25" s="25">
        <v>10.35</v>
      </c>
      <c r="L25" s="25">
        <v>5.18</v>
      </c>
      <c r="M25" s="25">
        <v>113.85</v>
      </c>
      <c r="N25" s="25">
        <v>113.85</v>
      </c>
      <c r="O25" s="25">
        <v>20.7</v>
      </c>
      <c r="P25" s="25">
        <v>10.35</v>
      </c>
      <c r="Q25" s="25">
        <v>175.95</v>
      </c>
      <c r="R25" s="25">
        <v>139.72999999999999</v>
      </c>
      <c r="S25" s="25">
        <v>0</v>
      </c>
      <c r="T25" s="25">
        <v>10.35</v>
      </c>
      <c r="U25" s="25">
        <v>103.27</v>
      </c>
      <c r="V25" s="25">
        <v>201.59</v>
      </c>
      <c r="W25" s="25">
        <v>20.7</v>
      </c>
      <c r="X25" s="25">
        <v>0</v>
      </c>
      <c r="Y25" s="25">
        <v>107.98</v>
      </c>
      <c r="Z25" s="25">
        <v>50.59</v>
      </c>
      <c r="AA25" s="25">
        <v>5.18</v>
      </c>
      <c r="AB25" s="25">
        <v>10.35</v>
      </c>
      <c r="AC25" s="25">
        <v>237.82</v>
      </c>
      <c r="AD25" s="25">
        <v>222.53</v>
      </c>
      <c r="AE25" s="25">
        <v>20.53</v>
      </c>
      <c r="AF25" s="25">
        <v>20.7</v>
      </c>
      <c r="AG25" s="25">
        <v>289.63</v>
      </c>
      <c r="AH25" s="25">
        <v>263.93</v>
      </c>
      <c r="AI25" s="25" t="s">
        <v>94</v>
      </c>
      <c r="AJ25" s="25" t="s">
        <v>89</v>
      </c>
      <c r="AK25" s="32">
        <f t="shared" si="0"/>
        <v>77.460000000000008</v>
      </c>
      <c r="AL25" s="32">
        <f t="shared" si="1"/>
        <v>56.929999999999993</v>
      </c>
      <c r="AM25" s="32">
        <f t="shared" si="2"/>
        <v>1059.5500000000002</v>
      </c>
      <c r="AN25" s="32">
        <f t="shared" si="3"/>
        <v>997.40000000000009</v>
      </c>
      <c r="AO25" s="34">
        <f t="shared" si="4"/>
        <v>1.3606183031793433</v>
      </c>
      <c r="AP25" s="34">
        <f t="shared" si="5"/>
        <v>1.0623120112291959</v>
      </c>
      <c r="AQ25" s="33">
        <f t="shared" si="6"/>
        <v>1120.67</v>
      </c>
      <c r="AR25" s="37">
        <f t="shared" si="7"/>
        <v>134.38999999999999</v>
      </c>
      <c r="AS25" s="37">
        <f t="shared" si="8"/>
        <v>2056.9500000000003</v>
      </c>
    </row>
    <row r="26" spans="1:45" x14ac:dyDescent="0.25">
      <c r="A26" s="26" t="s">
        <v>138</v>
      </c>
      <c r="B26" t="s">
        <v>139</v>
      </c>
      <c r="C26" s="25">
        <v>0</v>
      </c>
      <c r="D26" s="25">
        <v>0</v>
      </c>
      <c r="E26" s="25">
        <v>0</v>
      </c>
      <c r="F26" s="25">
        <v>0</v>
      </c>
      <c r="G26" s="25">
        <v>28.43</v>
      </c>
      <c r="H26" s="25">
        <v>9.48</v>
      </c>
      <c r="I26" s="25">
        <v>56.86</v>
      </c>
      <c r="J26" s="25">
        <v>42.64</v>
      </c>
      <c r="K26" s="25">
        <v>80.55</v>
      </c>
      <c r="L26" s="25">
        <v>52.12</v>
      </c>
      <c r="M26" s="25">
        <v>336.4</v>
      </c>
      <c r="N26" s="25">
        <v>293.76</v>
      </c>
      <c r="O26" s="25">
        <v>85.29</v>
      </c>
      <c r="P26" s="25">
        <v>90.02</v>
      </c>
      <c r="Q26" s="25">
        <v>469.07</v>
      </c>
      <c r="R26" s="25">
        <v>568.57000000000005</v>
      </c>
      <c r="S26" s="25">
        <v>28.43</v>
      </c>
      <c r="T26" s="25">
        <v>208.74</v>
      </c>
      <c r="U26" s="25">
        <v>208.47</v>
      </c>
      <c r="V26" s="25">
        <v>611.21</v>
      </c>
      <c r="W26" s="25">
        <v>99.5</v>
      </c>
      <c r="X26" s="25">
        <v>23.69</v>
      </c>
      <c r="Y26" s="25">
        <v>255.86</v>
      </c>
      <c r="Z26" s="25">
        <v>28.43</v>
      </c>
      <c r="AA26" s="25">
        <v>71.069999999999993</v>
      </c>
      <c r="AB26" s="25">
        <v>52.12</v>
      </c>
      <c r="AC26" s="25">
        <v>499.73</v>
      </c>
      <c r="AD26" s="25">
        <v>739.32</v>
      </c>
      <c r="AE26" s="25">
        <v>87.12</v>
      </c>
      <c r="AF26" s="25">
        <v>186.1</v>
      </c>
      <c r="AG26" s="25">
        <v>1127.92</v>
      </c>
      <c r="AH26" s="25">
        <v>1184.48</v>
      </c>
      <c r="AI26" s="25" t="s">
        <v>88</v>
      </c>
      <c r="AJ26" s="25" t="s">
        <v>89</v>
      </c>
      <c r="AK26" s="32">
        <f t="shared" si="0"/>
        <v>480.39</v>
      </c>
      <c r="AL26" s="32">
        <f t="shared" si="1"/>
        <v>622.27</v>
      </c>
      <c r="AM26" s="32">
        <f t="shared" si="2"/>
        <v>2954.31</v>
      </c>
      <c r="AN26" s="32">
        <f t="shared" si="3"/>
        <v>3468.4100000000003</v>
      </c>
      <c r="AO26" s="34">
        <f t="shared" si="4"/>
        <v>0.7719960788725152</v>
      </c>
      <c r="AP26" s="34">
        <f t="shared" si="5"/>
        <v>0.85177646241361304</v>
      </c>
      <c r="AQ26" s="33">
        <f t="shared" si="6"/>
        <v>3577.5199999999995</v>
      </c>
      <c r="AR26" s="37">
        <f t="shared" si="7"/>
        <v>1102.6599999999999</v>
      </c>
      <c r="AS26" s="37">
        <f t="shared" si="8"/>
        <v>6422.72</v>
      </c>
    </row>
    <row r="27" spans="1:45" x14ac:dyDescent="0.25">
      <c r="A27" s="26" t="s">
        <v>140</v>
      </c>
      <c r="B27" t="s">
        <v>141</v>
      </c>
      <c r="C27" s="25">
        <v>0</v>
      </c>
      <c r="D27" s="25">
        <v>0</v>
      </c>
      <c r="E27" s="25">
        <v>4.99</v>
      </c>
      <c r="F27" s="25">
        <v>0</v>
      </c>
      <c r="G27" s="25">
        <v>4.99</v>
      </c>
      <c r="H27" s="25">
        <v>0</v>
      </c>
      <c r="I27" s="25">
        <v>9.98</v>
      </c>
      <c r="J27" s="25">
        <v>4.99</v>
      </c>
      <c r="K27" s="25">
        <v>0</v>
      </c>
      <c r="L27" s="25">
        <v>0</v>
      </c>
      <c r="M27" s="25">
        <v>14.96</v>
      </c>
      <c r="N27" s="25">
        <v>4.99</v>
      </c>
      <c r="O27" s="25">
        <v>0</v>
      </c>
      <c r="P27" s="25">
        <v>0</v>
      </c>
      <c r="Q27" s="25">
        <v>29.93</v>
      </c>
      <c r="R27" s="25">
        <v>24.94</v>
      </c>
      <c r="S27" s="25">
        <v>0</v>
      </c>
      <c r="T27" s="25">
        <v>9.98</v>
      </c>
      <c r="U27" s="25">
        <v>14.96</v>
      </c>
      <c r="V27" s="25">
        <v>59.86</v>
      </c>
      <c r="W27" s="25">
        <v>9.98</v>
      </c>
      <c r="X27" s="25">
        <v>0</v>
      </c>
      <c r="Y27" s="25">
        <v>19.95</v>
      </c>
      <c r="Z27" s="25">
        <v>9.98</v>
      </c>
      <c r="AA27" s="25">
        <v>0</v>
      </c>
      <c r="AB27" s="25">
        <v>0</v>
      </c>
      <c r="AC27" s="25">
        <v>24.94</v>
      </c>
      <c r="AD27" s="25">
        <v>44.89</v>
      </c>
      <c r="AE27" s="25">
        <v>0</v>
      </c>
      <c r="AF27" s="25">
        <v>0</v>
      </c>
      <c r="AG27" s="25">
        <v>39.909999999999997</v>
      </c>
      <c r="AH27" s="25">
        <v>79.81</v>
      </c>
      <c r="AI27" s="25" t="s">
        <v>88</v>
      </c>
      <c r="AJ27" s="25" t="s">
        <v>89</v>
      </c>
      <c r="AK27" s="32">
        <f t="shared" si="0"/>
        <v>14.97</v>
      </c>
      <c r="AL27" s="32">
        <f t="shared" si="1"/>
        <v>9.98</v>
      </c>
      <c r="AM27" s="32">
        <f t="shared" si="2"/>
        <v>159.62</v>
      </c>
      <c r="AN27" s="32">
        <f t="shared" si="3"/>
        <v>229.46</v>
      </c>
      <c r="AO27" s="34">
        <f t="shared" si="4"/>
        <v>1.5</v>
      </c>
      <c r="AP27" s="34">
        <f t="shared" si="5"/>
        <v>0.6956332258345681</v>
      </c>
      <c r="AQ27" s="33">
        <f t="shared" si="6"/>
        <v>224.47999999999996</v>
      </c>
      <c r="AR27" s="37">
        <f t="shared" si="7"/>
        <v>24.950000000000003</v>
      </c>
      <c r="AS27" s="37">
        <f t="shared" si="8"/>
        <v>389.08000000000004</v>
      </c>
    </row>
    <row r="28" spans="1:45" x14ac:dyDescent="0.25">
      <c r="A28" s="26" t="s">
        <v>142</v>
      </c>
      <c r="B28" t="s">
        <v>143</v>
      </c>
      <c r="C28" s="25">
        <v>0</v>
      </c>
      <c r="D28" s="25">
        <v>0</v>
      </c>
      <c r="E28" s="25">
        <v>5.05</v>
      </c>
      <c r="F28" s="25">
        <v>0</v>
      </c>
      <c r="G28" s="25">
        <v>0</v>
      </c>
      <c r="H28" s="25">
        <v>0</v>
      </c>
      <c r="I28" s="25">
        <v>55.52</v>
      </c>
      <c r="J28" s="25">
        <v>10.09</v>
      </c>
      <c r="K28" s="25">
        <v>5.05</v>
      </c>
      <c r="L28" s="25">
        <v>0</v>
      </c>
      <c r="M28" s="25">
        <v>116.08</v>
      </c>
      <c r="N28" s="25">
        <v>85.8</v>
      </c>
      <c r="O28" s="25">
        <v>5.05</v>
      </c>
      <c r="P28" s="25">
        <v>10.09</v>
      </c>
      <c r="Q28" s="25">
        <v>232.16</v>
      </c>
      <c r="R28" s="25">
        <v>222.07</v>
      </c>
      <c r="S28" s="25">
        <v>0</v>
      </c>
      <c r="T28" s="25">
        <v>45.42</v>
      </c>
      <c r="U28" s="25">
        <v>121.13</v>
      </c>
      <c r="V28" s="25">
        <v>282.63</v>
      </c>
      <c r="W28" s="25">
        <v>25.24</v>
      </c>
      <c r="X28" s="25">
        <v>5.05</v>
      </c>
      <c r="Y28" s="25">
        <v>176.65</v>
      </c>
      <c r="Z28" s="25">
        <v>15.14</v>
      </c>
      <c r="AA28" s="25">
        <v>60.15</v>
      </c>
      <c r="AB28" s="25">
        <v>20.190000000000001</v>
      </c>
      <c r="AC28" s="25">
        <v>352.47</v>
      </c>
      <c r="AD28" s="25">
        <v>381.31</v>
      </c>
      <c r="AE28" s="25">
        <v>20.05</v>
      </c>
      <c r="AF28" s="25">
        <v>15.14</v>
      </c>
      <c r="AG28" s="25">
        <v>333.1</v>
      </c>
      <c r="AH28" s="25">
        <v>373.08</v>
      </c>
      <c r="AI28" s="25" t="s">
        <v>94</v>
      </c>
      <c r="AJ28" s="25" t="s">
        <v>89</v>
      </c>
      <c r="AK28" s="32">
        <f t="shared" si="0"/>
        <v>115.53999999999999</v>
      </c>
      <c r="AL28" s="32">
        <f t="shared" si="1"/>
        <v>95.89</v>
      </c>
      <c r="AM28" s="32">
        <f t="shared" si="2"/>
        <v>1392.1599999999999</v>
      </c>
      <c r="AN28" s="32">
        <f t="shared" si="3"/>
        <v>1370.12</v>
      </c>
      <c r="AO28" s="34">
        <f t="shared" si="4"/>
        <v>1.2049223068098862</v>
      </c>
      <c r="AP28" s="34">
        <f t="shared" si="5"/>
        <v>1.0160861822322131</v>
      </c>
      <c r="AQ28" s="33">
        <f t="shared" si="6"/>
        <v>1418.22</v>
      </c>
      <c r="AR28" s="37">
        <f t="shared" si="7"/>
        <v>211.43</v>
      </c>
      <c r="AS28" s="37">
        <f t="shared" si="8"/>
        <v>2762.2799999999997</v>
      </c>
    </row>
    <row r="29" spans="1:45" x14ac:dyDescent="0.25">
      <c r="A29" s="26" t="s">
        <v>144</v>
      </c>
      <c r="B29" t="s">
        <v>145</v>
      </c>
      <c r="C29" s="25">
        <v>0</v>
      </c>
      <c r="D29" s="25">
        <v>0</v>
      </c>
      <c r="E29" s="25">
        <v>0</v>
      </c>
      <c r="F29" s="25">
        <v>0</v>
      </c>
      <c r="G29" s="25">
        <v>0</v>
      </c>
      <c r="H29" s="25">
        <v>0</v>
      </c>
      <c r="I29" s="25">
        <v>15.05</v>
      </c>
      <c r="J29" s="25">
        <v>5.0199999999999996</v>
      </c>
      <c r="K29" s="25">
        <v>0</v>
      </c>
      <c r="L29" s="25">
        <v>0</v>
      </c>
      <c r="M29" s="25">
        <v>30.09</v>
      </c>
      <c r="N29" s="25">
        <v>35.11</v>
      </c>
      <c r="O29" s="25">
        <v>5.0199999999999996</v>
      </c>
      <c r="P29" s="25">
        <v>0</v>
      </c>
      <c r="Q29" s="25">
        <v>65.2</v>
      </c>
      <c r="R29" s="25">
        <v>90.28</v>
      </c>
      <c r="S29" s="25">
        <v>0</v>
      </c>
      <c r="T29" s="25">
        <v>0</v>
      </c>
      <c r="U29" s="25">
        <v>30.09</v>
      </c>
      <c r="V29" s="25">
        <v>45.14</v>
      </c>
      <c r="W29" s="25">
        <v>0</v>
      </c>
      <c r="X29" s="25">
        <v>0</v>
      </c>
      <c r="Y29" s="25">
        <v>30.09</v>
      </c>
      <c r="Z29" s="25">
        <v>10.029999999999999</v>
      </c>
      <c r="AA29" s="25">
        <v>0</v>
      </c>
      <c r="AB29" s="25">
        <v>0</v>
      </c>
      <c r="AC29" s="25">
        <v>55.17</v>
      </c>
      <c r="AD29" s="25">
        <v>60.19</v>
      </c>
      <c r="AE29" s="25">
        <v>0</v>
      </c>
      <c r="AF29" s="25">
        <v>0</v>
      </c>
      <c r="AG29" s="25">
        <v>65.2</v>
      </c>
      <c r="AH29" s="25">
        <v>125.39</v>
      </c>
      <c r="AI29" s="25" t="s">
        <v>88</v>
      </c>
      <c r="AJ29" s="25" t="s">
        <v>89</v>
      </c>
      <c r="AK29" s="32">
        <f t="shared" si="0"/>
        <v>5.0199999999999996</v>
      </c>
      <c r="AL29" s="32">
        <f t="shared" si="1"/>
        <v>0</v>
      </c>
      <c r="AM29" s="32">
        <f t="shared" si="2"/>
        <v>290.89</v>
      </c>
      <c r="AN29" s="32">
        <f t="shared" si="3"/>
        <v>371.16</v>
      </c>
      <c r="AO29" s="34">
        <f t="shared" si="4"/>
        <v>0</v>
      </c>
      <c r="AP29" s="34">
        <f t="shared" si="5"/>
        <v>0.78373208319862042</v>
      </c>
      <c r="AQ29" s="33">
        <f t="shared" si="6"/>
        <v>361.11999999999995</v>
      </c>
      <c r="AR29" s="37">
        <f t="shared" si="7"/>
        <v>5.0199999999999996</v>
      </c>
      <c r="AS29" s="37">
        <f t="shared" si="8"/>
        <v>662.05</v>
      </c>
    </row>
    <row r="30" spans="1:45" x14ac:dyDescent="0.25">
      <c r="A30" s="26" t="s">
        <v>146</v>
      </c>
      <c r="B30" t="s">
        <v>147</v>
      </c>
      <c r="C30" s="25">
        <v>1.08</v>
      </c>
      <c r="D30" s="25">
        <v>0</v>
      </c>
      <c r="E30" s="25">
        <v>3.44</v>
      </c>
      <c r="F30" s="25">
        <v>0</v>
      </c>
      <c r="G30" s="25">
        <v>89.66</v>
      </c>
      <c r="H30" s="25">
        <v>41</v>
      </c>
      <c r="I30" s="25">
        <v>160.44</v>
      </c>
      <c r="J30" s="25">
        <v>79.09</v>
      </c>
      <c r="K30" s="25">
        <v>265.74</v>
      </c>
      <c r="L30" s="25">
        <v>119.19</v>
      </c>
      <c r="M30" s="25">
        <v>1383.41</v>
      </c>
      <c r="N30" s="25">
        <v>1010.18</v>
      </c>
      <c r="O30" s="25">
        <v>328.76</v>
      </c>
      <c r="P30" s="25">
        <v>280.3</v>
      </c>
      <c r="Q30" s="25">
        <v>1426.37</v>
      </c>
      <c r="R30" s="25">
        <v>1928.81</v>
      </c>
      <c r="S30" s="25">
        <v>233.43</v>
      </c>
      <c r="T30" s="25">
        <v>695.17</v>
      </c>
      <c r="U30" s="25">
        <v>914.79</v>
      </c>
      <c r="V30" s="25">
        <v>2086.9</v>
      </c>
      <c r="W30" s="25">
        <v>574.70000000000005</v>
      </c>
      <c r="X30" s="25">
        <v>201.83</v>
      </c>
      <c r="Y30" s="25">
        <v>1366.35</v>
      </c>
      <c r="Z30" s="25">
        <v>257.83999999999997</v>
      </c>
      <c r="AA30" s="25">
        <v>226.17</v>
      </c>
      <c r="AB30" s="25">
        <v>244.05</v>
      </c>
      <c r="AC30" s="25">
        <v>1463.3</v>
      </c>
      <c r="AD30" s="25">
        <v>1812.14</v>
      </c>
      <c r="AE30" s="25">
        <v>276.43</v>
      </c>
      <c r="AF30" s="25">
        <v>582.4</v>
      </c>
      <c r="AG30" s="25">
        <v>4266.32</v>
      </c>
      <c r="AH30" s="25">
        <v>4200.72</v>
      </c>
      <c r="AI30" s="25" t="s">
        <v>88</v>
      </c>
      <c r="AJ30" s="25" t="s">
        <v>89</v>
      </c>
      <c r="AK30" s="32">
        <f t="shared" si="0"/>
        <v>1995.9700000000003</v>
      </c>
      <c r="AL30" s="32">
        <f t="shared" si="1"/>
        <v>2163.9399999999996</v>
      </c>
      <c r="AM30" s="32">
        <f t="shared" si="2"/>
        <v>10984.419999999998</v>
      </c>
      <c r="AN30" s="32">
        <f t="shared" si="3"/>
        <v>11375.68</v>
      </c>
      <c r="AO30" s="34">
        <f t="shared" si="4"/>
        <v>0.92237769993622776</v>
      </c>
      <c r="AP30" s="34">
        <f t="shared" si="5"/>
        <v>0.96560557258994606</v>
      </c>
      <c r="AQ30" s="33">
        <f t="shared" si="6"/>
        <v>13448.480000000001</v>
      </c>
      <c r="AR30" s="37">
        <f t="shared" si="7"/>
        <v>4159.91</v>
      </c>
      <c r="AS30" s="37">
        <f t="shared" si="8"/>
        <v>22360.1</v>
      </c>
    </row>
    <row r="31" spans="1:45" x14ac:dyDescent="0.25">
      <c r="A31" s="26" t="s">
        <v>148</v>
      </c>
      <c r="B31" t="s">
        <v>149</v>
      </c>
      <c r="C31" s="25">
        <v>5.03</v>
      </c>
      <c r="D31" s="25">
        <v>0</v>
      </c>
      <c r="E31" s="25">
        <v>5.03</v>
      </c>
      <c r="F31" s="25">
        <v>0</v>
      </c>
      <c r="G31" s="25">
        <v>30.17</v>
      </c>
      <c r="H31" s="25">
        <v>0</v>
      </c>
      <c r="I31" s="25">
        <v>155.88</v>
      </c>
      <c r="J31" s="25">
        <v>30.17</v>
      </c>
      <c r="K31" s="25">
        <v>25.14</v>
      </c>
      <c r="L31" s="25">
        <v>15.09</v>
      </c>
      <c r="M31" s="25">
        <v>512.9</v>
      </c>
      <c r="N31" s="25">
        <v>271.52999999999997</v>
      </c>
      <c r="O31" s="25">
        <v>45.26</v>
      </c>
      <c r="P31" s="25">
        <v>55.31</v>
      </c>
      <c r="Q31" s="25">
        <v>583.29</v>
      </c>
      <c r="R31" s="25">
        <v>668.78</v>
      </c>
      <c r="S31" s="25">
        <v>30.17</v>
      </c>
      <c r="T31" s="25">
        <v>90.51</v>
      </c>
      <c r="U31" s="25">
        <v>241.36</v>
      </c>
      <c r="V31" s="25">
        <v>734.15</v>
      </c>
      <c r="W31" s="25">
        <v>90.51</v>
      </c>
      <c r="X31" s="25">
        <v>40.229999999999997</v>
      </c>
      <c r="Y31" s="25">
        <v>407.3</v>
      </c>
      <c r="Z31" s="25">
        <v>85.48</v>
      </c>
      <c r="AA31" s="25">
        <v>95.54</v>
      </c>
      <c r="AB31" s="25">
        <v>100.57</v>
      </c>
      <c r="AC31" s="25">
        <v>573.21</v>
      </c>
      <c r="AD31" s="25">
        <v>774.04</v>
      </c>
      <c r="AE31" s="25">
        <v>35.200000000000003</v>
      </c>
      <c r="AF31" s="25">
        <v>105.6</v>
      </c>
      <c r="AG31" s="25">
        <v>1156.53</v>
      </c>
      <c r="AH31" s="25">
        <v>1412.98</v>
      </c>
      <c r="AI31" s="25" t="s">
        <v>88</v>
      </c>
      <c r="AJ31" s="25" t="s">
        <v>89</v>
      </c>
      <c r="AK31" s="32">
        <f t="shared" si="0"/>
        <v>357.02</v>
      </c>
      <c r="AL31" s="32">
        <f t="shared" si="1"/>
        <v>407.31000000000006</v>
      </c>
      <c r="AM31" s="32">
        <f t="shared" si="2"/>
        <v>3635.5</v>
      </c>
      <c r="AN31" s="32">
        <f t="shared" si="3"/>
        <v>3977.13</v>
      </c>
      <c r="AO31" s="34">
        <f t="shared" si="4"/>
        <v>0.8765313888684293</v>
      </c>
      <c r="AP31" s="34">
        <f t="shared" si="5"/>
        <v>0.91410137460932883</v>
      </c>
      <c r="AQ31" s="33">
        <f t="shared" si="6"/>
        <v>4123.2900000000009</v>
      </c>
      <c r="AR31" s="37">
        <f t="shared" si="7"/>
        <v>764.33</v>
      </c>
      <c r="AS31" s="37">
        <f t="shared" si="8"/>
        <v>7612.63</v>
      </c>
    </row>
    <row r="32" spans="1:45" x14ac:dyDescent="0.25">
      <c r="A32" s="26" t="s">
        <v>150</v>
      </c>
      <c r="B32" t="s">
        <v>151</v>
      </c>
      <c r="C32" s="25">
        <v>0</v>
      </c>
      <c r="D32" s="25">
        <v>0</v>
      </c>
      <c r="E32" s="25">
        <v>0</v>
      </c>
      <c r="F32" s="25">
        <v>0</v>
      </c>
      <c r="G32" s="25">
        <v>5</v>
      </c>
      <c r="H32" s="25">
        <v>0</v>
      </c>
      <c r="I32" s="25">
        <v>25</v>
      </c>
      <c r="J32" s="25">
        <v>15</v>
      </c>
      <c r="K32" s="25">
        <v>10</v>
      </c>
      <c r="L32" s="25">
        <v>5</v>
      </c>
      <c r="M32" s="25">
        <v>45</v>
      </c>
      <c r="N32" s="25">
        <v>40</v>
      </c>
      <c r="O32" s="25">
        <v>10</v>
      </c>
      <c r="P32" s="25">
        <v>5</v>
      </c>
      <c r="Q32" s="25">
        <v>135</v>
      </c>
      <c r="R32" s="25">
        <v>110</v>
      </c>
      <c r="S32" s="25">
        <v>10</v>
      </c>
      <c r="T32" s="25">
        <v>5</v>
      </c>
      <c r="U32" s="25">
        <v>15</v>
      </c>
      <c r="V32" s="25">
        <v>110</v>
      </c>
      <c r="W32" s="25">
        <v>20</v>
      </c>
      <c r="X32" s="25">
        <v>5</v>
      </c>
      <c r="Y32" s="25">
        <v>55</v>
      </c>
      <c r="Z32" s="25">
        <v>15</v>
      </c>
      <c r="AA32" s="25">
        <v>25</v>
      </c>
      <c r="AB32" s="25">
        <v>15</v>
      </c>
      <c r="AC32" s="25">
        <v>90</v>
      </c>
      <c r="AD32" s="25">
        <v>140</v>
      </c>
      <c r="AE32" s="25">
        <v>0</v>
      </c>
      <c r="AF32" s="25">
        <v>0</v>
      </c>
      <c r="AG32" s="25">
        <v>140</v>
      </c>
      <c r="AH32" s="25">
        <v>185</v>
      </c>
      <c r="AI32" s="25" t="s">
        <v>94</v>
      </c>
      <c r="AJ32" s="25" t="s">
        <v>89</v>
      </c>
      <c r="AK32" s="32">
        <f t="shared" si="0"/>
        <v>80</v>
      </c>
      <c r="AL32" s="32">
        <f t="shared" si="1"/>
        <v>35</v>
      </c>
      <c r="AM32" s="32">
        <f t="shared" si="2"/>
        <v>505</v>
      </c>
      <c r="AN32" s="32">
        <f t="shared" si="3"/>
        <v>615</v>
      </c>
      <c r="AO32" s="34">
        <f t="shared" si="4"/>
        <v>2.2857142857142856</v>
      </c>
      <c r="AP32" s="34">
        <f t="shared" si="5"/>
        <v>0.82113821138211385</v>
      </c>
      <c r="AQ32" s="33">
        <f t="shared" si="6"/>
        <v>640</v>
      </c>
      <c r="AR32" s="37">
        <f t="shared" si="7"/>
        <v>115</v>
      </c>
      <c r="AS32" s="37">
        <f t="shared" si="8"/>
        <v>1120</v>
      </c>
    </row>
    <row r="33" spans="1:45" x14ac:dyDescent="0.25">
      <c r="A33" s="26" t="s">
        <v>152</v>
      </c>
      <c r="B33" t="s">
        <v>153</v>
      </c>
      <c r="C33" s="25">
        <v>0</v>
      </c>
      <c r="D33" s="25">
        <v>0</v>
      </c>
      <c r="E33" s="25">
        <v>5</v>
      </c>
      <c r="F33" s="25">
        <v>0</v>
      </c>
      <c r="G33" s="25">
        <v>0</v>
      </c>
      <c r="H33" s="25">
        <v>0</v>
      </c>
      <c r="I33" s="25">
        <v>15</v>
      </c>
      <c r="J33" s="25">
        <v>0</v>
      </c>
      <c r="K33" s="25">
        <v>5</v>
      </c>
      <c r="L33" s="25">
        <v>0</v>
      </c>
      <c r="M33" s="25">
        <v>60</v>
      </c>
      <c r="N33" s="25">
        <v>45</v>
      </c>
      <c r="O33" s="25">
        <v>10</v>
      </c>
      <c r="P33" s="25">
        <v>10</v>
      </c>
      <c r="Q33" s="25">
        <v>55</v>
      </c>
      <c r="R33" s="25">
        <v>125</v>
      </c>
      <c r="S33" s="25">
        <v>0</v>
      </c>
      <c r="T33" s="25">
        <v>20</v>
      </c>
      <c r="U33" s="25">
        <v>40</v>
      </c>
      <c r="V33" s="25">
        <v>115</v>
      </c>
      <c r="W33" s="25">
        <v>35</v>
      </c>
      <c r="X33" s="25">
        <v>0</v>
      </c>
      <c r="Y33" s="25">
        <v>50</v>
      </c>
      <c r="Z33" s="25">
        <v>15</v>
      </c>
      <c r="AA33" s="25">
        <v>5</v>
      </c>
      <c r="AB33" s="25">
        <v>5</v>
      </c>
      <c r="AC33" s="25">
        <v>105</v>
      </c>
      <c r="AD33" s="25">
        <v>125</v>
      </c>
      <c r="AE33" s="25">
        <v>0</v>
      </c>
      <c r="AF33" s="25">
        <v>5</v>
      </c>
      <c r="AG33" s="25">
        <v>205</v>
      </c>
      <c r="AH33" s="25">
        <v>180</v>
      </c>
      <c r="AI33" s="25" t="s">
        <v>88</v>
      </c>
      <c r="AJ33" s="25" t="s">
        <v>89</v>
      </c>
      <c r="AK33" s="32">
        <f t="shared" si="0"/>
        <v>55</v>
      </c>
      <c r="AL33" s="32">
        <f t="shared" si="1"/>
        <v>40</v>
      </c>
      <c r="AM33" s="32">
        <f t="shared" si="2"/>
        <v>535</v>
      </c>
      <c r="AN33" s="32">
        <f t="shared" si="3"/>
        <v>605</v>
      </c>
      <c r="AO33" s="34">
        <f t="shared" si="4"/>
        <v>1.375</v>
      </c>
      <c r="AP33" s="34">
        <f t="shared" si="5"/>
        <v>0.88429752066115708</v>
      </c>
      <c r="AQ33" s="33">
        <f t="shared" si="6"/>
        <v>605</v>
      </c>
      <c r="AR33" s="37">
        <f t="shared" si="7"/>
        <v>95</v>
      </c>
      <c r="AS33" s="37">
        <f t="shared" si="8"/>
        <v>1140</v>
      </c>
    </row>
    <row r="34" spans="1:45" x14ac:dyDescent="0.25">
      <c r="A34" s="26" t="s">
        <v>154</v>
      </c>
      <c r="B34" t="s">
        <v>155</v>
      </c>
      <c r="C34" s="25">
        <v>0</v>
      </c>
      <c r="D34" s="25">
        <v>0</v>
      </c>
      <c r="E34" s="25">
        <v>10.119999999999999</v>
      </c>
      <c r="F34" s="25">
        <v>0</v>
      </c>
      <c r="G34" s="25">
        <v>25.3</v>
      </c>
      <c r="H34" s="25">
        <v>0</v>
      </c>
      <c r="I34" s="25">
        <v>35.43</v>
      </c>
      <c r="J34" s="25">
        <v>5.0599999999999996</v>
      </c>
      <c r="K34" s="25">
        <v>5.0599999999999996</v>
      </c>
      <c r="L34" s="25">
        <v>20.239999999999998</v>
      </c>
      <c r="M34" s="25">
        <v>323.89</v>
      </c>
      <c r="N34" s="25">
        <v>222.68</v>
      </c>
      <c r="O34" s="25">
        <v>10.119999999999999</v>
      </c>
      <c r="P34" s="25">
        <v>10.119999999999999</v>
      </c>
      <c r="Q34" s="25">
        <v>241.73</v>
      </c>
      <c r="R34" s="25">
        <v>263.16000000000003</v>
      </c>
      <c r="S34" s="25">
        <v>10.119999999999999</v>
      </c>
      <c r="T34" s="25">
        <v>50.61</v>
      </c>
      <c r="U34" s="25">
        <v>109.55</v>
      </c>
      <c r="V34" s="25">
        <v>247.98</v>
      </c>
      <c r="W34" s="25">
        <v>40.49</v>
      </c>
      <c r="X34" s="25">
        <v>0</v>
      </c>
      <c r="Y34" s="25">
        <v>121.46</v>
      </c>
      <c r="Z34" s="25">
        <v>20.239999999999998</v>
      </c>
      <c r="AA34" s="25">
        <v>35.43</v>
      </c>
      <c r="AB34" s="25">
        <v>30.36</v>
      </c>
      <c r="AC34" s="25">
        <v>287.27999999999997</v>
      </c>
      <c r="AD34" s="25">
        <v>332.82</v>
      </c>
      <c r="AE34" s="25">
        <v>10.119999999999999</v>
      </c>
      <c r="AF34" s="25">
        <v>30.36</v>
      </c>
      <c r="AG34" s="25">
        <v>433.45</v>
      </c>
      <c r="AH34" s="25">
        <v>489.07</v>
      </c>
      <c r="AI34" s="25" t="s">
        <v>94</v>
      </c>
      <c r="AJ34" s="25" t="s">
        <v>89</v>
      </c>
      <c r="AK34" s="32">
        <f t="shared" si="0"/>
        <v>136.64000000000001</v>
      </c>
      <c r="AL34" s="32">
        <f t="shared" si="1"/>
        <v>141.69</v>
      </c>
      <c r="AM34" s="32">
        <f t="shared" si="2"/>
        <v>1562.91</v>
      </c>
      <c r="AN34" s="32">
        <f t="shared" si="3"/>
        <v>1581.01</v>
      </c>
      <c r="AO34" s="34">
        <f t="shared" si="4"/>
        <v>0.96435881148987235</v>
      </c>
      <c r="AP34" s="34">
        <f t="shared" si="5"/>
        <v>0.98855162206437663</v>
      </c>
      <c r="AQ34" s="33">
        <f t="shared" si="6"/>
        <v>1773.36</v>
      </c>
      <c r="AR34" s="37">
        <f t="shared" si="7"/>
        <v>278.33000000000004</v>
      </c>
      <c r="AS34" s="37">
        <f t="shared" si="8"/>
        <v>3143.92</v>
      </c>
    </row>
    <row r="35" spans="1:45" x14ac:dyDescent="0.25">
      <c r="A35" s="26" t="s">
        <v>156</v>
      </c>
      <c r="B35" t="s">
        <v>157</v>
      </c>
      <c r="C35" s="25">
        <v>0</v>
      </c>
      <c r="D35" s="25">
        <v>0</v>
      </c>
      <c r="E35" s="25">
        <v>5.24</v>
      </c>
      <c r="F35" s="25">
        <v>5.24</v>
      </c>
      <c r="G35" s="25">
        <v>0</v>
      </c>
      <c r="H35" s="25">
        <v>0</v>
      </c>
      <c r="I35" s="25">
        <v>5.24</v>
      </c>
      <c r="J35" s="25">
        <v>0</v>
      </c>
      <c r="K35" s="25">
        <v>5.24</v>
      </c>
      <c r="L35" s="25">
        <v>0</v>
      </c>
      <c r="M35" s="25">
        <v>5.24</v>
      </c>
      <c r="N35" s="25">
        <v>0</v>
      </c>
      <c r="O35" s="25">
        <v>0</v>
      </c>
      <c r="P35" s="25">
        <v>0</v>
      </c>
      <c r="Q35" s="25">
        <v>0</v>
      </c>
      <c r="R35" s="25">
        <v>5.24</v>
      </c>
      <c r="S35" s="25">
        <v>0</v>
      </c>
      <c r="T35" s="25">
        <v>0</v>
      </c>
      <c r="U35" s="25">
        <v>0</v>
      </c>
      <c r="V35" s="25">
        <v>15.71</v>
      </c>
      <c r="W35" s="25">
        <v>0</v>
      </c>
      <c r="X35" s="25">
        <v>0</v>
      </c>
      <c r="Y35" s="25">
        <v>5.24</v>
      </c>
      <c r="Z35" s="25">
        <v>0</v>
      </c>
      <c r="AA35" s="25">
        <v>0</v>
      </c>
      <c r="AB35" s="25">
        <v>0</v>
      </c>
      <c r="AC35" s="25">
        <v>10.47</v>
      </c>
      <c r="AD35" s="25">
        <v>15.71</v>
      </c>
      <c r="AE35" s="25">
        <v>0</v>
      </c>
      <c r="AF35" s="25">
        <v>5.24</v>
      </c>
      <c r="AG35" s="25">
        <v>10.47</v>
      </c>
      <c r="AH35" s="25">
        <v>20.94</v>
      </c>
      <c r="AI35" s="25" t="s">
        <v>88</v>
      </c>
      <c r="AJ35" s="25" t="s">
        <v>89</v>
      </c>
      <c r="AK35" s="32">
        <f t="shared" si="0"/>
        <v>5.24</v>
      </c>
      <c r="AL35" s="32">
        <f t="shared" si="1"/>
        <v>5.24</v>
      </c>
      <c r="AM35" s="32">
        <f t="shared" si="2"/>
        <v>41.9</v>
      </c>
      <c r="AN35" s="32">
        <f t="shared" si="3"/>
        <v>62.84</v>
      </c>
      <c r="AO35" s="34">
        <f t="shared" si="4"/>
        <v>1</v>
      </c>
      <c r="AP35" s="34">
        <f t="shared" si="5"/>
        <v>0.66677275620623799</v>
      </c>
      <c r="AQ35" s="33">
        <f t="shared" si="6"/>
        <v>52.390000000000008</v>
      </c>
      <c r="AR35" s="37">
        <f t="shared" si="7"/>
        <v>10.48</v>
      </c>
      <c r="AS35" s="37">
        <f t="shared" si="8"/>
        <v>104.74000000000001</v>
      </c>
    </row>
    <row r="36" spans="1:45" x14ac:dyDescent="0.25">
      <c r="A36" s="26" t="s">
        <v>158</v>
      </c>
      <c r="B36" t="s">
        <v>159</v>
      </c>
      <c r="C36" s="25">
        <v>0</v>
      </c>
      <c r="D36" s="25">
        <v>0</v>
      </c>
      <c r="E36" s="25">
        <v>0</v>
      </c>
      <c r="F36" s="25">
        <v>0</v>
      </c>
      <c r="G36" s="25">
        <v>129.46</v>
      </c>
      <c r="H36" s="25">
        <v>30.7</v>
      </c>
      <c r="I36" s="25">
        <v>305.19</v>
      </c>
      <c r="J36" s="25">
        <v>114.47</v>
      </c>
      <c r="K36" s="25">
        <v>185.77</v>
      </c>
      <c r="L36" s="25">
        <v>108.5</v>
      </c>
      <c r="M36" s="25">
        <v>1804.71</v>
      </c>
      <c r="N36" s="25">
        <v>1325.69</v>
      </c>
      <c r="O36" s="25">
        <v>208.48</v>
      </c>
      <c r="P36" s="25">
        <v>187.07</v>
      </c>
      <c r="Q36" s="25">
        <v>1375.84</v>
      </c>
      <c r="R36" s="25">
        <v>1775.2</v>
      </c>
      <c r="S36" s="25">
        <v>122.17</v>
      </c>
      <c r="T36" s="25">
        <v>617.03</v>
      </c>
      <c r="U36" s="25">
        <v>744.18</v>
      </c>
      <c r="V36" s="25">
        <v>1582.01</v>
      </c>
      <c r="W36" s="25">
        <v>441.11</v>
      </c>
      <c r="X36" s="25">
        <v>112.18</v>
      </c>
      <c r="Y36" s="25">
        <v>938.47</v>
      </c>
      <c r="Z36" s="25">
        <v>142.66</v>
      </c>
      <c r="AA36" s="25">
        <v>307.25</v>
      </c>
      <c r="AB36" s="25">
        <v>318.60000000000002</v>
      </c>
      <c r="AC36" s="25">
        <v>1861.85</v>
      </c>
      <c r="AD36" s="25">
        <v>2670.89</v>
      </c>
      <c r="AE36" s="25">
        <v>390</v>
      </c>
      <c r="AF36" s="25">
        <v>504.47</v>
      </c>
      <c r="AG36" s="25">
        <v>3687.39</v>
      </c>
      <c r="AH36" s="25">
        <v>3672.04</v>
      </c>
      <c r="AI36" s="25" t="s">
        <v>88</v>
      </c>
      <c r="AJ36" s="25" t="s">
        <v>89</v>
      </c>
      <c r="AK36" s="32">
        <f t="shared" si="0"/>
        <v>1784.24</v>
      </c>
      <c r="AL36" s="32">
        <f t="shared" si="1"/>
        <v>1878.55</v>
      </c>
      <c r="AM36" s="32">
        <f t="shared" si="2"/>
        <v>10717.63</v>
      </c>
      <c r="AN36" s="32">
        <f t="shared" si="3"/>
        <v>11282.96</v>
      </c>
      <c r="AO36" s="34">
        <f t="shared" si="4"/>
        <v>0.94979638551010093</v>
      </c>
      <c r="AP36" s="34">
        <f t="shared" si="5"/>
        <v>0.94989524025610306</v>
      </c>
      <c r="AQ36" s="33">
        <f t="shared" si="6"/>
        <v>12250.890000000001</v>
      </c>
      <c r="AR36" s="37">
        <f t="shared" si="7"/>
        <v>3662.79</v>
      </c>
      <c r="AS36" s="37">
        <f t="shared" si="8"/>
        <v>22000.589999999997</v>
      </c>
    </row>
    <row r="37" spans="1:45" x14ac:dyDescent="0.25">
      <c r="A37" s="26" t="s">
        <v>160</v>
      </c>
      <c r="B37" t="s">
        <v>161</v>
      </c>
      <c r="C37" s="25">
        <v>0</v>
      </c>
      <c r="D37" s="25">
        <v>0</v>
      </c>
      <c r="E37" s="25">
        <v>4.88</v>
      </c>
      <c r="F37" s="25">
        <v>0</v>
      </c>
      <c r="G37" s="25">
        <v>4.41</v>
      </c>
      <c r="H37" s="25">
        <v>4.41</v>
      </c>
      <c r="I37" s="25">
        <v>25.68</v>
      </c>
      <c r="J37" s="25">
        <v>9.89</v>
      </c>
      <c r="K37" s="25">
        <v>14.64</v>
      </c>
      <c r="L37" s="25">
        <v>5.01</v>
      </c>
      <c r="M37" s="25">
        <v>213.81</v>
      </c>
      <c r="N37" s="25">
        <v>110.43</v>
      </c>
      <c r="O37" s="25">
        <v>5.27</v>
      </c>
      <c r="P37" s="25">
        <v>5.14</v>
      </c>
      <c r="Q37" s="25">
        <v>246.68</v>
      </c>
      <c r="R37" s="25">
        <v>254.66</v>
      </c>
      <c r="S37" s="25">
        <v>0</v>
      </c>
      <c r="T37" s="25">
        <v>39.68</v>
      </c>
      <c r="U37" s="25">
        <v>157.44999999999999</v>
      </c>
      <c r="V37" s="25">
        <v>319.66000000000003</v>
      </c>
      <c r="W37" s="25">
        <v>39.43</v>
      </c>
      <c r="X37" s="25">
        <v>0</v>
      </c>
      <c r="Y37" s="25">
        <v>135.13999999999999</v>
      </c>
      <c r="Z37" s="25">
        <v>34.92</v>
      </c>
      <c r="AA37" s="25">
        <v>19.559999999999999</v>
      </c>
      <c r="AB37" s="25">
        <v>30.09</v>
      </c>
      <c r="AC37" s="25">
        <v>245.75</v>
      </c>
      <c r="AD37" s="25">
        <v>304.2</v>
      </c>
      <c r="AE37" s="25">
        <v>19.64</v>
      </c>
      <c r="AF37" s="25">
        <v>19.52</v>
      </c>
      <c r="AG37" s="25">
        <v>523.32000000000005</v>
      </c>
      <c r="AH37" s="25">
        <v>523.33000000000004</v>
      </c>
      <c r="AI37" s="25" t="s">
        <v>88</v>
      </c>
      <c r="AJ37" s="25" t="s">
        <v>89</v>
      </c>
      <c r="AK37" s="32">
        <f t="shared" si="0"/>
        <v>102.95</v>
      </c>
      <c r="AL37" s="32">
        <f t="shared" si="1"/>
        <v>103.85</v>
      </c>
      <c r="AM37" s="32">
        <f t="shared" si="2"/>
        <v>1552.71</v>
      </c>
      <c r="AN37" s="32">
        <f t="shared" si="3"/>
        <v>1557.0900000000001</v>
      </c>
      <c r="AO37" s="34">
        <f t="shared" si="4"/>
        <v>0.9913336543090997</v>
      </c>
      <c r="AP37" s="34">
        <f t="shared" si="5"/>
        <v>0.99718706047819961</v>
      </c>
      <c r="AQ37" s="33">
        <f t="shared" si="6"/>
        <v>1631.19</v>
      </c>
      <c r="AR37" s="37">
        <f t="shared" si="7"/>
        <v>206.8</v>
      </c>
      <c r="AS37" s="37">
        <f t="shared" si="8"/>
        <v>3109.8</v>
      </c>
    </row>
    <row r="38" spans="1:45" x14ac:dyDescent="0.25">
      <c r="A38" s="26" t="s">
        <v>162</v>
      </c>
      <c r="B38" t="s">
        <v>163</v>
      </c>
      <c r="C38" s="25">
        <v>0</v>
      </c>
      <c r="D38" s="25">
        <v>0</v>
      </c>
      <c r="E38" s="25">
        <v>0</v>
      </c>
      <c r="F38" s="25">
        <v>0</v>
      </c>
      <c r="G38" s="25">
        <v>4.75</v>
      </c>
      <c r="H38" s="25">
        <v>0</v>
      </c>
      <c r="I38" s="25">
        <v>4.8600000000000003</v>
      </c>
      <c r="J38" s="25">
        <v>0</v>
      </c>
      <c r="K38" s="25">
        <v>4.97</v>
      </c>
      <c r="L38" s="25">
        <v>0</v>
      </c>
      <c r="M38" s="25">
        <v>30.37</v>
      </c>
      <c r="N38" s="25">
        <v>10.050000000000001</v>
      </c>
      <c r="O38" s="25">
        <v>0</v>
      </c>
      <c r="P38" s="25">
        <v>0</v>
      </c>
      <c r="Q38" s="25">
        <v>34.35</v>
      </c>
      <c r="R38" s="25">
        <v>34.56</v>
      </c>
      <c r="S38" s="25">
        <v>0</v>
      </c>
      <c r="T38" s="25">
        <v>14.58</v>
      </c>
      <c r="U38" s="25">
        <v>9.94</v>
      </c>
      <c r="V38" s="25">
        <v>54.13</v>
      </c>
      <c r="W38" s="25">
        <v>0</v>
      </c>
      <c r="X38" s="25">
        <v>0</v>
      </c>
      <c r="Y38" s="25">
        <v>39.1</v>
      </c>
      <c r="Z38" s="25">
        <v>0</v>
      </c>
      <c r="AA38" s="25">
        <v>0</v>
      </c>
      <c r="AB38" s="25">
        <v>0</v>
      </c>
      <c r="AC38" s="25">
        <v>45.72</v>
      </c>
      <c r="AD38" s="25">
        <v>50.8</v>
      </c>
      <c r="AE38" s="25">
        <v>0</v>
      </c>
      <c r="AF38" s="25">
        <v>0</v>
      </c>
      <c r="AG38" s="25">
        <v>63.51</v>
      </c>
      <c r="AH38" s="25">
        <v>54.22</v>
      </c>
      <c r="AI38" s="25" t="s">
        <v>94</v>
      </c>
      <c r="AJ38" s="25" t="s">
        <v>89</v>
      </c>
      <c r="AK38" s="32">
        <f t="shared" si="0"/>
        <v>9.7199999999999989</v>
      </c>
      <c r="AL38" s="32">
        <f t="shared" si="1"/>
        <v>14.58</v>
      </c>
      <c r="AM38" s="32">
        <f t="shared" si="2"/>
        <v>227.85</v>
      </c>
      <c r="AN38" s="32">
        <f t="shared" si="3"/>
        <v>203.76000000000002</v>
      </c>
      <c r="AO38" s="34">
        <f t="shared" si="4"/>
        <v>0.66666666666666663</v>
      </c>
      <c r="AP38" s="34">
        <f t="shared" si="5"/>
        <v>1.1182273262661955</v>
      </c>
      <c r="AQ38" s="33">
        <f t="shared" si="6"/>
        <v>241.66</v>
      </c>
      <c r="AR38" s="37">
        <f t="shared" si="7"/>
        <v>24.299999999999997</v>
      </c>
      <c r="AS38" s="37">
        <f t="shared" si="8"/>
        <v>431.61</v>
      </c>
    </row>
    <row r="39" spans="1:45" x14ac:dyDescent="0.25">
      <c r="A39" s="26" t="s">
        <v>164</v>
      </c>
      <c r="B39" t="s">
        <v>165</v>
      </c>
      <c r="C39" s="25">
        <v>0</v>
      </c>
      <c r="D39" s="25">
        <v>0</v>
      </c>
      <c r="E39" s="25">
        <v>0</v>
      </c>
      <c r="F39" s="25">
        <v>0</v>
      </c>
      <c r="G39" s="25">
        <v>35.36</v>
      </c>
      <c r="H39" s="25">
        <v>0</v>
      </c>
      <c r="I39" s="25">
        <v>85.95</v>
      </c>
      <c r="J39" s="25">
        <v>30.51</v>
      </c>
      <c r="K39" s="25">
        <v>168.1</v>
      </c>
      <c r="L39" s="25">
        <v>125.98</v>
      </c>
      <c r="M39" s="25">
        <v>1178.1099999999999</v>
      </c>
      <c r="N39" s="25">
        <v>744.43</v>
      </c>
      <c r="O39" s="25">
        <v>50.24</v>
      </c>
      <c r="P39" s="25">
        <v>50.59</v>
      </c>
      <c r="Q39" s="25">
        <v>304.70999999999998</v>
      </c>
      <c r="R39" s="25">
        <v>653.17999999999995</v>
      </c>
      <c r="S39" s="25">
        <v>30.64</v>
      </c>
      <c r="T39" s="25">
        <v>65.38</v>
      </c>
      <c r="U39" s="25">
        <v>158.16</v>
      </c>
      <c r="V39" s="25">
        <v>344.31</v>
      </c>
      <c r="W39" s="25">
        <v>45.65</v>
      </c>
      <c r="X39" s="25">
        <v>25.36</v>
      </c>
      <c r="Y39" s="25">
        <v>199.29</v>
      </c>
      <c r="Z39" s="25">
        <v>10.14</v>
      </c>
      <c r="AA39" s="25">
        <v>117.23</v>
      </c>
      <c r="AB39" s="25">
        <v>97.43</v>
      </c>
      <c r="AC39" s="25">
        <v>857.55</v>
      </c>
      <c r="AD39" s="25">
        <v>1064.3499999999999</v>
      </c>
      <c r="AE39" s="25">
        <v>115.58</v>
      </c>
      <c r="AF39" s="25">
        <v>115.95</v>
      </c>
      <c r="AG39" s="25">
        <v>1468.94</v>
      </c>
      <c r="AH39" s="25">
        <v>1662.35</v>
      </c>
      <c r="AI39" s="25" t="s">
        <v>88</v>
      </c>
      <c r="AJ39" s="25" t="s">
        <v>89</v>
      </c>
      <c r="AK39" s="32">
        <f t="shared" si="0"/>
        <v>562.79999999999995</v>
      </c>
      <c r="AL39" s="32">
        <f t="shared" si="1"/>
        <v>480.69</v>
      </c>
      <c r="AM39" s="32">
        <f t="shared" si="2"/>
        <v>4252.71</v>
      </c>
      <c r="AN39" s="32">
        <f t="shared" si="3"/>
        <v>4509.2700000000004</v>
      </c>
      <c r="AO39" s="34">
        <f t="shared" si="4"/>
        <v>1.1708169506334642</v>
      </c>
      <c r="AP39" s="34">
        <f t="shared" si="5"/>
        <v>0.94310387268892737</v>
      </c>
      <c r="AQ39" s="33">
        <f t="shared" si="6"/>
        <v>4306.0899999999992</v>
      </c>
      <c r="AR39" s="37">
        <f t="shared" si="7"/>
        <v>1043.49</v>
      </c>
      <c r="AS39" s="37">
        <f t="shared" si="8"/>
        <v>8761.98</v>
      </c>
    </row>
    <row r="40" spans="1:45" x14ac:dyDescent="0.25">
      <c r="A40" s="26" t="s">
        <v>166</v>
      </c>
      <c r="B40" t="s">
        <v>167</v>
      </c>
      <c r="C40" s="25">
        <v>0</v>
      </c>
      <c r="D40" s="25">
        <v>0</v>
      </c>
      <c r="E40" s="25">
        <v>14.92</v>
      </c>
      <c r="F40" s="25">
        <v>0</v>
      </c>
      <c r="G40" s="25">
        <v>4.97</v>
      </c>
      <c r="H40" s="25">
        <v>9.9499999999999993</v>
      </c>
      <c r="I40" s="25">
        <v>64.66</v>
      </c>
      <c r="J40" s="25">
        <v>29.85</v>
      </c>
      <c r="K40" s="25">
        <v>4.97</v>
      </c>
      <c r="L40" s="25">
        <v>4.97</v>
      </c>
      <c r="M40" s="25">
        <v>154.19999999999999</v>
      </c>
      <c r="N40" s="25">
        <v>144.25</v>
      </c>
      <c r="O40" s="25">
        <v>9.9499999999999993</v>
      </c>
      <c r="P40" s="25">
        <v>14.92</v>
      </c>
      <c r="Q40" s="25">
        <v>228.81</v>
      </c>
      <c r="R40" s="25">
        <v>258.66000000000003</v>
      </c>
      <c r="S40" s="25">
        <v>14.94</v>
      </c>
      <c r="T40" s="25">
        <v>39.79</v>
      </c>
      <c r="U40" s="25">
        <v>89.54</v>
      </c>
      <c r="V40" s="25">
        <v>253.69</v>
      </c>
      <c r="W40" s="25">
        <v>39.79</v>
      </c>
      <c r="X40" s="25">
        <v>14.92</v>
      </c>
      <c r="Y40" s="25">
        <v>233.79</v>
      </c>
      <c r="Z40" s="25">
        <v>24.89</v>
      </c>
      <c r="AA40" s="25">
        <v>24.87</v>
      </c>
      <c r="AB40" s="25">
        <v>29.77</v>
      </c>
      <c r="AC40" s="25">
        <v>298.23</v>
      </c>
      <c r="AD40" s="25">
        <v>372.41</v>
      </c>
      <c r="AE40" s="25">
        <v>14.92</v>
      </c>
      <c r="AF40" s="25">
        <v>29.85</v>
      </c>
      <c r="AG40" s="25">
        <v>462.76</v>
      </c>
      <c r="AH40" s="25">
        <v>462.68</v>
      </c>
      <c r="AI40" s="25" t="s">
        <v>94</v>
      </c>
      <c r="AJ40" s="25" t="s">
        <v>89</v>
      </c>
      <c r="AK40" s="32">
        <f t="shared" si="0"/>
        <v>114.41000000000001</v>
      </c>
      <c r="AL40" s="32">
        <f t="shared" si="1"/>
        <v>144.16999999999999</v>
      </c>
      <c r="AM40" s="32">
        <f t="shared" si="2"/>
        <v>1546.91</v>
      </c>
      <c r="AN40" s="32">
        <f t="shared" si="3"/>
        <v>1546.43</v>
      </c>
      <c r="AO40" s="34">
        <f t="shared" si="4"/>
        <v>0.79357702712076039</v>
      </c>
      <c r="AP40" s="34">
        <f t="shared" si="5"/>
        <v>1.0003103923229633</v>
      </c>
      <c r="AQ40" s="33">
        <f t="shared" si="6"/>
        <v>1656.4300000000003</v>
      </c>
      <c r="AR40" s="37">
        <f t="shared" si="7"/>
        <v>258.58</v>
      </c>
      <c r="AS40" s="37">
        <f t="shared" si="8"/>
        <v>3093.34</v>
      </c>
    </row>
    <row r="41" spans="1:45" x14ac:dyDescent="0.25">
      <c r="A41" s="26" t="s">
        <v>168</v>
      </c>
      <c r="B41" t="s">
        <v>169</v>
      </c>
      <c r="C41" s="25">
        <v>0</v>
      </c>
      <c r="D41" s="25">
        <v>0</v>
      </c>
      <c r="E41" s="25">
        <v>0</v>
      </c>
      <c r="F41" s="25">
        <v>0</v>
      </c>
      <c r="G41" s="25">
        <v>0</v>
      </c>
      <c r="H41" s="25">
        <v>0</v>
      </c>
      <c r="I41" s="25">
        <v>35</v>
      </c>
      <c r="J41" s="25">
        <v>20</v>
      </c>
      <c r="K41" s="25">
        <v>5</v>
      </c>
      <c r="L41" s="25">
        <v>10</v>
      </c>
      <c r="M41" s="25">
        <v>70</v>
      </c>
      <c r="N41" s="25">
        <v>40</v>
      </c>
      <c r="O41" s="25">
        <v>5</v>
      </c>
      <c r="P41" s="25">
        <v>5</v>
      </c>
      <c r="Q41" s="25">
        <v>85</v>
      </c>
      <c r="R41" s="25">
        <v>100</v>
      </c>
      <c r="S41" s="25">
        <v>0</v>
      </c>
      <c r="T41" s="25">
        <v>5</v>
      </c>
      <c r="U41" s="25">
        <v>35</v>
      </c>
      <c r="V41" s="25">
        <v>65</v>
      </c>
      <c r="W41" s="25">
        <v>0</v>
      </c>
      <c r="X41" s="25">
        <v>0</v>
      </c>
      <c r="Y41" s="25">
        <v>40</v>
      </c>
      <c r="Z41" s="25">
        <v>20</v>
      </c>
      <c r="AA41" s="25">
        <v>5</v>
      </c>
      <c r="AB41" s="25">
        <v>5</v>
      </c>
      <c r="AC41" s="25">
        <v>120</v>
      </c>
      <c r="AD41" s="25">
        <v>90</v>
      </c>
      <c r="AE41" s="25">
        <v>0</v>
      </c>
      <c r="AF41" s="25">
        <v>5</v>
      </c>
      <c r="AG41" s="25">
        <v>130</v>
      </c>
      <c r="AH41" s="25">
        <v>165</v>
      </c>
      <c r="AI41" s="25" t="s">
        <v>88</v>
      </c>
      <c r="AJ41" s="25" t="s">
        <v>89</v>
      </c>
      <c r="AK41" s="32">
        <f t="shared" si="0"/>
        <v>15</v>
      </c>
      <c r="AL41" s="32">
        <f t="shared" si="1"/>
        <v>30</v>
      </c>
      <c r="AM41" s="32">
        <f t="shared" si="2"/>
        <v>515</v>
      </c>
      <c r="AN41" s="32">
        <f t="shared" si="3"/>
        <v>500</v>
      </c>
      <c r="AO41" s="34">
        <f t="shared" si="4"/>
        <v>0.5</v>
      </c>
      <c r="AP41" s="34">
        <f t="shared" si="5"/>
        <v>1.03</v>
      </c>
      <c r="AQ41" s="33">
        <f t="shared" si="6"/>
        <v>540</v>
      </c>
      <c r="AR41" s="37">
        <f t="shared" si="7"/>
        <v>45</v>
      </c>
      <c r="AS41" s="37">
        <f t="shared" si="8"/>
        <v>1015</v>
      </c>
    </row>
    <row r="42" spans="1:45" x14ac:dyDescent="0.25">
      <c r="A42" s="26" t="s">
        <v>170</v>
      </c>
      <c r="B42" t="s">
        <v>171</v>
      </c>
      <c r="C42" s="25">
        <v>0</v>
      </c>
      <c r="D42" s="25">
        <v>0</v>
      </c>
      <c r="E42" s="25">
        <v>0</v>
      </c>
      <c r="F42" s="25">
        <v>0</v>
      </c>
      <c r="G42" s="25">
        <v>0</v>
      </c>
      <c r="H42" s="25">
        <v>0</v>
      </c>
      <c r="I42" s="25">
        <v>5.05</v>
      </c>
      <c r="J42" s="25">
        <v>0</v>
      </c>
      <c r="K42" s="25">
        <v>4.99</v>
      </c>
      <c r="L42" s="25">
        <v>5.01</v>
      </c>
      <c r="M42" s="25">
        <v>30.06</v>
      </c>
      <c r="N42" s="25">
        <v>10</v>
      </c>
      <c r="O42" s="25">
        <v>0</v>
      </c>
      <c r="P42" s="25">
        <v>0</v>
      </c>
      <c r="Q42" s="25">
        <v>45.09</v>
      </c>
      <c r="R42" s="25">
        <v>40.119999999999997</v>
      </c>
      <c r="S42" s="25">
        <v>0</v>
      </c>
      <c r="T42" s="25">
        <v>5.01</v>
      </c>
      <c r="U42" s="25">
        <v>10.06</v>
      </c>
      <c r="V42" s="25">
        <v>25.01</v>
      </c>
      <c r="W42" s="25">
        <v>5.01</v>
      </c>
      <c r="X42" s="25">
        <v>0</v>
      </c>
      <c r="Y42" s="25">
        <v>14.99</v>
      </c>
      <c r="Z42" s="25">
        <v>10.02</v>
      </c>
      <c r="AA42" s="25">
        <v>0</v>
      </c>
      <c r="AB42" s="25">
        <v>0</v>
      </c>
      <c r="AC42" s="25">
        <v>39.92</v>
      </c>
      <c r="AD42" s="25">
        <v>34.909999999999997</v>
      </c>
      <c r="AE42" s="25">
        <v>0</v>
      </c>
      <c r="AF42" s="25">
        <v>4.99</v>
      </c>
      <c r="AG42" s="25">
        <v>65.48</v>
      </c>
      <c r="AH42" s="25">
        <v>80.37</v>
      </c>
      <c r="AI42" s="25" t="s">
        <v>88</v>
      </c>
      <c r="AJ42" s="25" t="s">
        <v>89</v>
      </c>
      <c r="AK42" s="32">
        <f t="shared" si="0"/>
        <v>10</v>
      </c>
      <c r="AL42" s="32">
        <f t="shared" si="1"/>
        <v>15.01</v>
      </c>
      <c r="AM42" s="32">
        <f t="shared" si="2"/>
        <v>210.65000000000003</v>
      </c>
      <c r="AN42" s="32">
        <f t="shared" si="3"/>
        <v>200.43</v>
      </c>
      <c r="AO42" s="34">
        <f t="shared" si="4"/>
        <v>0.66622251832111923</v>
      </c>
      <c r="AP42" s="34">
        <f t="shared" si="5"/>
        <v>1.0509903707029886</v>
      </c>
      <c r="AQ42" s="33">
        <f t="shared" si="6"/>
        <v>210.42</v>
      </c>
      <c r="AR42" s="37">
        <f t="shared" si="7"/>
        <v>25.009999999999998</v>
      </c>
      <c r="AS42" s="37">
        <f t="shared" si="8"/>
        <v>411.08000000000004</v>
      </c>
    </row>
    <row r="43" spans="1:45" x14ac:dyDescent="0.25">
      <c r="A43" s="26" t="s">
        <v>172</v>
      </c>
      <c r="B43" t="s">
        <v>173</v>
      </c>
      <c r="C43" s="25">
        <v>0</v>
      </c>
      <c r="D43" s="25">
        <v>0</v>
      </c>
      <c r="E43" s="25">
        <v>0</v>
      </c>
      <c r="F43" s="25">
        <v>0</v>
      </c>
      <c r="G43" s="25">
        <v>0</v>
      </c>
      <c r="H43" s="25">
        <v>10</v>
      </c>
      <c r="I43" s="25">
        <v>10</v>
      </c>
      <c r="J43" s="25">
        <v>20</v>
      </c>
      <c r="K43" s="25">
        <v>0</v>
      </c>
      <c r="L43" s="25">
        <v>5</v>
      </c>
      <c r="M43" s="25">
        <v>45</v>
      </c>
      <c r="N43" s="25">
        <v>60</v>
      </c>
      <c r="O43" s="25">
        <v>5</v>
      </c>
      <c r="P43" s="25">
        <v>5</v>
      </c>
      <c r="Q43" s="25">
        <v>85</v>
      </c>
      <c r="R43" s="25">
        <v>85</v>
      </c>
      <c r="S43" s="25">
        <v>5</v>
      </c>
      <c r="T43" s="25">
        <v>5</v>
      </c>
      <c r="U43" s="25">
        <v>25</v>
      </c>
      <c r="V43" s="25">
        <v>115</v>
      </c>
      <c r="W43" s="25">
        <v>15</v>
      </c>
      <c r="X43" s="25">
        <v>0</v>
      </c>
      <c r="Y43" s="25">
        <v>80</v>
      </c>
      <c r="Z43" s="25">
        <v>0</v>
      </c>
      <c r="AA43" s="25">
        <v>15</v>
      </c>
      <c r="AB43" s="25">
        <v>10</v>
      </c>
      <c r="AC43" s="25">
        <v>95</v>
      </c>
      <c r="AD43" s="25">
        <v>65</v>
      </c>
      <c r="AE43" s="25">
        <v>5</v>
      </c>
      <c r="AF43" s="25">
        <v>15</v>
      </c>
      <c r="AG43" s="25">
        <v>130</v>
      </c>
      <c r="AH43" s="25">
        <v>220</v>
      </c>
      <c r="AI43" s="25" t="s">
        <v>94</v>
      </c>
      <c r="AJ43" s="25" t="s">
        <v>89</v>
      </c>
      <c r="AK43" s="32">
        <f t="shared" si="0"/>
        <v>45</v>
      </c>
      <c r="AL43" s="32">
        <f t="shared" si="1"/>
        <v>50</v>
      </c>
      <c r="AM43" s="32">
        <f t="shared" si="2"/>
        <v>470</v>
      </c>
      <c r="AN43" s="32">
        <f t="shared" si="3"/>
        <v>565</v>
      </c>
      <c r="AO43" s="34">
        <f t="shared" si="4"/>
        <v>0.9</v>
      </c>
      <c r="AP43" s="34">
        <f t="shared" si="5"/>
        <v>0.83185840707964598</v>
      </c>
      <c r="AQ43" s="33">
        <f t="shared" si="6"/>
        <v>575</v>
      </c>
      <c r="AR43" s="37">
        <f t="shared" si="7"/>
        <v>95</v>
      </c>
      <c r="AS43" s="37">
        <f t="shared" si="8"/>
        <v>1035</v>
      </c>
    </row>
    <row r="44" spans="1:45" x14ac:dyDescent="0.25">
      <c r="A44" s="26" t="s">
        <v>174</v>
      </c>
      <c r="B44" t="s">
        <v>175</v>
      </c>
      <c r="C44" s="25">
        <v>0</v>
      </c>
      <c r="D44" s="25">
        <v>0</v>
      </c>
      <c r="E44" s="25">
        <v>0</v>
      </c>
      <c r="F44" s="25">
        <v>5.01</v>
      </c>
      <c r="G44" s="25">
        <v>5.01</v>
      </c>
      <c r="H44" s="25">
        <v>0</v>
      </c>
      <c r="I44" s="25">
        <v>45.1</v>
      </c>
      <c r="J44" s="25">
        <v>25.05</v>
      </c>
      <c r="K44" s="25">
        <v>10.02</v>
      </c>
      <c r="L44" s="25">
        <v>0</v>
      </c>
      <c r="M44" s="25">
        <v>160.34</v>
      </c>
      <c r="N44" s="25">
        <v>70.150000000000006</v>
      </c>
      <c r="O44" s="25">
        <v>10.02</v>
      </c>
      <c r="P44" s="25">
        <v>5.01</v>
      </c>
      <c r="Q44" s="25">
        <v>220.47</v>
      </c>
      <c r="R44" s="25">
        <v>185.4</v>
      </c>
      <c r="S44" s="25">
        <v>15.03</v>
      </c>
      <c r="T44" s="25">
        <v>20.04</v>
      </c>
      <c r="U44" s="25">
        <v>90.19</v>
      </c>
      <c r="V44" s="25">
        <v>245.53</v>
      </c>
      <c r="W44" s="25">
        <v>10.02</v>
      </c>
      <c r="X44" s="25">
        <v>5.01</v>
      </c>
      <c r="Y44" s="25">
        <v>120.26</v>
      </c>
      <c r="Z44" s="25">
        <v>0</v>
      </c>
      <c r="AA44" s="25">
        <v>37.21</v>
      </c>
      <c r="AB44" s="25">
        <v>35</v>
      </c>
      <c r="AC44" s="25">
        <v>242.85</v>
      </c>
      <c r="AD44" s="25">
        <v>396.46</v>
      </c>
      <c r="AE44" s="25">
        <v>85.54</v>
      </c>
      <c r="AF44" s="25">
        <v>19.5</v>
      </c>
      <c r="AG44" s="25">
        <v>423.87</v>
      </c>
      <c r="AH44" s="25">
        <v>376.84</v>
      </c>
      <c r="AI44" s="25" t="s">
        <v>94</v>
      </c>
      <c r="AJ44" s="25" t="s">
        <v>89</v>
      </c>
      <c r="AK44" s="32">
        <f t="shared" si="0"/>
        <v>172.85000000000002</v>
      </c>
      <c r="AL44" s="32">
        <f t="shared" si="1"/>
        <v>84.56</v>
      </c>
      <c r="AM44" s="32">
        <f t="shared" si="2"/>
        <v>1303.08</v>
      </c>
      <c r="AN44" s="32">
        <f t="shared" si="3"/>
        <v>1304.4399999999998</v>
      </c>
      <c r="AO44" s="34">
        <f t="shared" si="4"/>
        <v>2.0441106906338695</v>
      </c>
      <c r="AP44" s="34">
        <f t="shared" si="5"/>
        <v>0.99895740700990476</v>
      </c>
      <c r="AQ44" s="33">
        <f t="shared" si="6"/>
        <v>1247.6599999999999</v>
      </c>
      <c r="AR44" s="37">
        <f t="shared" si="7"/>
        <v>257.41000000000003</v>
      </c>
      <c r="AS44" s="37">
        <f t="shared" si="8"/>
        <v>2607.5199999999995</v>
      </c>
    </row>
    <row r="45" spans="1:45" x14ac:dyDescent="0.25">
      <c r="A45" s="26" t="s">
        <v>176</v>
      </c>
      <c r="B45" t="s">
        <v>177</v>
      </c>
      <c r="C45" s="25">
        <v>25</v>
      </c>
      <c r="D45" s="25">
        <v>0</v>
      </c>
      <c r="E45" s="25">
        <v>10</v>
      </c>
      <c r="F45" s="25">
        <v>0</v>
      </c>
      <c r="G45" s="25">
        <v>10</v>
      </c>
      <c r="H45" s="25">
        <v>5</v>
      </c>
      <c r="I45" s="25">
        <v>70</v>
      </c>
      <c r="J45" s="25">
        <v>5</v>
      </c>
      <c r="K45" s="25">
        <v>15</v>
      </c>
      <c r="L45" s="25">
        <v>20</v>
      </c>
      <c r="M45" s="25">
        <v>95</v>
      </c>
      <c r="N45" s="25">
        <v>105</v>
      </c>
      <c r="O45" s="25">
        <v>145</v>
      </c>
      <c r="P45" s="25">
        <v>25</v>
      </c>
      <c r="Q45" s="25">
        <v>215</v>
      </c>
      <c r="R45" s="25">
        <v>145</v>
      </c>
      <c r="S45" s="25">
        <v>30</v>
      </c>
      <c r="T45" s="25">
        <v>155</v>
      </c>
      <c r="U45" s="25">
        <v>65</v>
      </c>
      <c r="V45" s="25">
        <v>225</v>
      </c>
      <c r="W45" s="25">
        <v>100</v>
      </c>
      <c r="X45" s="25">
        <v>15</v>
      </c>
      <c r="Y45" s="25">
        <v>135</v>
      </c>
      <c r="Z45" s="25">
        <v>20</v>
      </c>
      <c r="AA45" s="25">
        <v>90</v>
      </c>
      <c r="AB45" s="25">
        <v>40</v>
      </c>
      <c r="AC45" s="25">
        <v>140</v>
      </c>
      <c r="AD45" s="25">
        <v>215</v>
      </c>
      <c r="AE45" s="25">
        <v>165</v>
      </c>
      <c r="AF45" s="25">
        <v>300</v>
      </c>
      <c r="AG45" s="25">
        <v>385</v>
      </c>
      <c r="AH45" s="25">
        <v>350</v>
      </c>
      <c r="AI45" s="25" t="s">
        <v>88</v>
      </c>
      <c r="AJ45" s="25" t="s">
        <v>89</v>
      </c>
      <c r="AK45" s="32">
        <f t="shared" si="0"/>
        <v>580</v>
      </c>
      <c r="AL45" s="32">
        <f t="shared" si="1"/>
        <v>560</v>
      </c>
      <c r="AM45" s="32">
        <f t="shared" si="2"/>
        <v>1115</v>
      </c>
      <c r="AN45" s="32">
        <f t="shared" si="3"/>
        <v>1065</v>
      </c>
      <c r="AO45" s="34">
        <f t="shared" si="4"/>
        <v>1.0357142857142858</v>
      </c>
      <c r="AP45" s="34">
        <f t="shared" si="5"/>
        <v>1.0469483568075117</v>
      </c>
      <c r="AQ45" s="33">
        <f t="shared" si="6"/>
        <v>1635</v>
      </c>
      <c r="AR45" s="37">
        <f t="shared" si="7"/>
        <v>1140</v>
      </c>
      <c r="AS45" s="37">
        <f t="shared" si="8"/>
        <v>2180</v>
      </c>
    </row>
    <row r="46" spans="1:45" x14ac:dyDescent="0.25">
      <c r="A46" s="26" t="s">
        <v>178</v>
      </c>
      <c r="B46" t="s">
        <v>179</v>
      </c>
      <c r="C46" s="25">
        <v>0</v>
      </c>
      <c r="D46" s="25">
        <v>0</v>
      </c>
      <c r="E46" s="25">
        <v>10.029999999999999</v>
      </c>
      <c r="F46" s="25">
        <v>0</v>
      </c>
      <c r="G46" s="25">
        <v>0</v>
      </c>
      <c r="H46" s="25">
        <v>0</v>
      </c>
      <c r="I46" s="25">
        <v>15.04</v>
      </c>
      <c r="J46" s="25">
        <v>0</v>
      </c>
      <c r="K46" s="25">
        <v>5.01</v>
      </c>
      <c r="L46" s="25">
        <v>5.01</v>
      </c>
      <c r="M46" s="25">
        <v>15.04</v>
      </c>
      <c r="N46" s="25">
        <v>0</v>
      </c>
      <c r="O46" s="25">
        <v>0</v>
      </c>
      <c r="P46" s="25">
        <v>0</v>
      </c>
      <c r="Q46" s="25">
        <v>35.1</v>
      </c>
      <c r="R46" s="25">
        <v>30.08</v>
      </c>
      <c r="S46" s="25">
        <v>0</v>
      </c>
      <c r="T46" s="25">
        <v>0</v>
      </c>
      <c r="U46" s="25">
        <v>10.029999999999999</v>
      </c>
      <c r="V46" s="25">
        <v>45.12</v>
      </c>
      <c r="W46" s="25">
        <v>0</v>
      </c>
      <c r="X46" s="25">
        <v>0</v>
      </c>
      <c r="Y46" s="25">
        <v>20.05</v>
      </c>
      <c r="Z46" s="25">
        <v>0</v>
      </c>
      <c r="AA46" s="25">
        <v>5.01</v>
      </c>
      <c r="AB46" s="25">
        <v>0</v>
      </c>
      <c r="AC46" s="25">
        <v>20.05</v>
      </c>
      <c r="AD46" s="25">
        <v>20.05</v>
      </c>
      <c r="AE46" s="25">
        <v>0</v>
      </c>
      <c r="AF46" s="25">
        <v>0</v>
      </c>
      <c r="AG46" s="25">
        <v>45.12</v>
      </c>
      <c r="AH46" s="25">
        <v>70.19</v>
      </c>
      <c r="AI46" s="25" t="s">
        <v>88</v>
      </c>
      <c r="AJ46" s="25" t="s">
        <v>89</v>
      </c>
      <c r="AK46" s="32">
        <f t="shared" si="0"/>
        <v>10.02</v>
      </c>
      <c r="AL46" s="32">
        <f t="shared" si="1"/>
        <v>5.01</v>
      </c>
      <c r="AM46" s="32">
        <f t="shared" si="2"/>
        <v>170.46</v>
      </c>
      <c r="AN46" s="32">
        <f t="shared" si="3"/>
        <v>165.44</v>
      </c>
      <c r="AO46" s="34">
        <f t="shared" si="4"/>
        <v>2</v>
      </c>
      <c r="AP46" s="34">
        <f t="shared" si="5"/>
        <v>1.0303433268858802</v>
      </c>
      <c r="AQ46" s="33">
        <f t="shared" si="6"/>
        <v>190.51</v>
      </c>
      <c r="AR46" s="37">
        <f t="shared" si="7"/>
        <v>15.03</v>
      </c>
      <c r="AS46" s="37">
        <f t="shared" si="8"/>
        <v>335.9</v>
      </c>
    </row>
    <row r="47" spans="1:45" x14ac:dyDescent="0.25">
      <c r="A47" s="26" t="s">
        <v>180</v>
      </c>
      <c r="B47" t="s">
        <v>181</v>
      </c>
      <c r="C47" s="25">
        <v>0</v>
      </c>
      <c r="D47" s="25">
        <v>0</v>
      </c>
      <c r="E47" s="25">
        <v>0</v>
      </c>
      <c r="F47" s="25">
        <v>0</v>
      </c>
      <c r="G47" s="25">
        <v>0</v>
      </c>
      <c r="H47" s="25">
        <v>0</v>
      </c>
      <c r="I47" s="25">
        <v>0</v>
      </c>
      <c r="J47" s="25">
        <v>0</v>
      </c>
      <c r="K47" s="25">
        <v>5.33</v>
      </c>
      <c r="L47" s="25">
        <v>0</v>
      </c>
      <c r="M47" s="25">
        <v>10.67</v>
      </c>
      <c r="N47" s="25">
        <v>0</v>
      </c>
      <c r="O47" s="25">
        <v>0</v>
      </c>
      <c r="P47" s="25">
        <v>0</v>
      </c>
      <c r="Q47" s="25">
        <v>5.33</v>
      </c>
      <c r="R47" s="25">
        <v>0</v>
      </c>
      <c r="S47" s="25">
        <v>0</v>
      </c>
      <c r="T47" s="25">
        <v>0</v>
      </c>
      <c r="U47" s="25">
        <v>0</v>
      </c>
      <c r="V47" s="25">
        <v>0</v>
      </c>
      <c r="W47" s="25">
        <v>0</v>
      </c>
      <c r="X47" s="25">
        <v>5.33</v>
      </c>
      <c r="Y47" s="25">
        <v>0</v>
      </c>
      <c r="Z47" s="25">
        <v>0</v>
      </c>
      <c r="AA47" s="25">
        <v>0</v>
      </c>
      <c r="AB47" s="25">
        <v>0</v>
      </c>
      <c r="AC47" s="25">
        <v>5.33</v>
      </c>
      <c r="AD47" s="25">
        <v>10.67</v>
      </c>
      <c r="AE47" s="25">
        <v>0</v>
      </c>
      <c r="AF47" s="25">
        <v>0</v>
      </c>
      <c r="AG47" s="25">
        <v>5.33</v>
      </c>
      <c r="AH47" s="25">
        <v>16</v>
      </c>
      <c r="AI47" s="25" t="s">
        <v>88</v>
      </c>
      <c r="AJ47" s="25" t="s">
        <v>89</v>
      </c>
      <c r="AK47" s="32">
        <f t="shared" si="0"/>
        <v>5.33</v>
      </c>
      <c r="AL47" s="32">
        <f t="shared" si="1"/>
        <v>5.33</v>
      </c>
      <c r="AM47" s="32">
        <f t="shared" si="2"/>
        <v>26.659999999999997</v>
      </c>
      <c r="AN47" s="32">
        <f t="shared" si="3"/>
        <v>26.67</v>
      </c>
      <c r="AO47" s="34">
        <f t="shared" si="4"/>
        <v>1</v>
      </c>
      <c r="AP47" s="34">
        <f t="shared" si="5"/>
        <v>0.99962504686914122</v>
      </c>
      <c r="AQ47" s="33">
        <f t="shared" si="6"/>
        <v>26.659999999999997</v>
      </c>
      <c r="AR47" s="37">
        <f t="shared" si="7"/>
        <v>10.66</v>
      </c>
      <c r="AS47" s="37">
        <f t="shared" si="8"/>
        <v>53.33</v>
      </c>
    </row>
    <row r="48" spans="1:45" x14ac:dyDescent="0.25">
      <c r="A48" s="26" t="s">
        <v>182</v>
      </c>
      <c r="B48" t="s">
        <v>183</v>
      </c>
      <c r="C48" s="25">
        <v>0</v>
      </c>
      <c r="D48" s="25">
        <v>0</v>
      </c>
      <c r="E48" s="25">
        <v>5</v>
      </c>
      <c r="F48" s="25">
        <v>5</v>
      </c>
      <c r="G48" s="25">
        <v>0</v>
      </c>
      <c r="H48" s="25">
        <v>0</v>
      </c>
      <c r="I48" s="25">
        <v>0</v>
      </c>
      <c r="J48" s="25">
        <v>0</v>
      </c>
      <c r="K48" s="25">
        <v>0</v>
      </c>
      <c r="L48" s="25">
        <v>0</v>
      </c>
      <c r="M48" s="25">
        <v>0</v>
      </c>
      <c r="N48" s="25">
        <v>0</v>
      </c>
      <c r="O48" s="25">
        <v>0</v>
      </c>
      <c r="P48" s="25">
        <v>0</v>
      </c>
      <c r="Q48" s="25">
        <v>20</v>
      </c>
      <c r="R48" s="25">
        <v>10</v>
      </c>
      <c r="S48" s="25">
        <v>0</v>
      </c>
      <c r="T48" s="25">
        <v>0</v>
      </c>
      <c r="U48" s="25">
        <v>0</v>
      </c>
      <c r="V48" s="25">
        <v>5</v>
      </c>
      <c r="W48" s="25">
        <v>0</v>
      </c>
      <c r="X48" s="25">
        <v>0</v>
      </c>
      <c r="Y48" s="25">
        <v>10</v>
      </c>
      <c r="Z48" s="25">
        <v>0</v>
      </c>
      <c r="AA48" s="25">
        <v>0</v>
      </c>
      <c r="AB48" s="25">
        <v>0</v>
      </c>
      <c r="AC48" s="25">
        <v>15</v>
      </c>
      <c r="AD48" s="25">
        <v>20</v>
      </c>
      <c r="AE48" s="25">
        <v>0</v>
      </c>
      <c r="AF48" s="25">
        <v>0</v>
      </c>
      <c r="AG48" s="25">
        <v>10</v>
      </c>
      <c r="AH48" s="25">
        <v>30</v>
      </c>
      <c r="AI48" s="25" t="s">
        <v>94</v>
      </c>
      <c r="AJ48" s="25" t="s">
        <v>89</v>
      </c>
      <c r="AK48" s="32">
        <f t="shared" si="0"/>
        <v>0</v>
      </c>
      <c r="AL48" s="32">
        <f t="shared" si="1"/>
        <v>0</v>
      </c>
      <c r="AM48" s="32">
        <f t="shared" si="2"/>
        <v>60</v>
      </c>
      <c r="AN48" s="32">
        <f t="shared" si="3"/>
        <v>70</v>
      </c>
      <c r="AO48" s="34">
        <f t="shared" si="4"/>
        <v>0</v>
      </c>
      <c r="AP48" s="34">
        <f t="shared" si="5"/>
        <v>0.8571428571428571</v>
      </c>
      <c r="AQ48" s="33">
        <f t="shared" si="6"/>
        <v>55</v>
      </c>
      <c r="AR48" s="37">
        <f t="shared" si="7"/>
        <v>0</v>
      </c>
      <c r="AS48" s="37">
        <f t="shared" si="8"/>
        <v>130</v>
      </c>
    </row>
    <row r="49" spans="1:45" x14ac:dyDescent="0.25">
      <c r="A49" s="26" t="s">
        <v>184</v>
      </c>
      <c r="B49" t="s">
        <v>185</v>
      </c>
      <c r="C49" s="25">
        <v>0</v>
      </c>
      <c r="D49" s="25">
        <v>0</v>
      </c>
      <c r="E49" s="25">
        <v>0</v>
      </c>
      <c r="F49" s="25">
        <v>0</v>
      </c>
      <c r="G49" s="25">
        <v>0</v>
      </c>
      <c r="H49" s="25">
        <v>0</v>
      </c>
      <c r="I49" s="25">
        <v>50</v>
      </c>
      <c r="J49" s="25">
        <v>15</v>
      </c>
      <c r="K49" s="25">
        <v>0</v>
      </c>
      <c r="L49" s="25">
        <v>5</v>
      </c>
      <c r="M49" s="25">
        <v>110</v>
      </c>
      <c r="N49" s="25">
        <v>40</v>
      </c>
      <c r="O49" s="25">
        <v>20</v>
      </c>
      <c r="P49" s="25">
        <v>5</v>
      </c>
      <c r="Q49" s="25">
        <v>150</v>
      </c>
      <c r="R49" s="25">
        <v>265</v>
      </c>
      <c r="S49" s="25">
        <v>0</v>
      </c>
      <c r="T49" s="25">
        <v>25</v>
      </c>
      <c r="U49" s="25">
        <v>75</v>
      </c>
      <c r="V49" s="25">
        <v>135</v>
      </c>
      <c r="W49" s="25">
        <v>10</v>
      </c>
      <c r="X49" s="25">
        <v>10</v>
      </c>
      <c r="Y49" s="25">
        <v>120</v>
      </c>
      <c r="Z49" s="25">
        <v>30</v>
      </c>
      <c r="AA49" s="25">
        <v>10</v>
      </c>
      <c r="AB49" s="25">
        <v>15</v>
      </c>
      <c r="AC49" s="25">
        <v>155</v>
      </c>
      <c r="AD49" s="25">
        <v>165</v>
      </c>
      <c r="AE49" s="25">
        <v>0</v>
      </c>
      <c r="AF49" s="25">
        <v>0</v>
      </c>
      <c r="AG49" s="25">
        <v>305</v>
      </c>
      <c r="AH49" s="25">
        <v>325</v>
      </c>
      <c r="AI49" s="25" t="s">
        <v>88</v>
      </c>
      <c r="AJ49" s="25" t="s">
        <v>89</v>
      </c>
      <c r="AK49" s="32">
        <f t="shared" si="0"/>
        <v>40</v>
      </c>
      <c r="AL49" s="32">
        <f t="shared" si="1"/>
        <v>60</v>
      </c>
      <c r="AM49" s="32">
        <f t="shared" si="2"/>
        <v>965</v>
      </c>
      <c r="AN49" s="32">
        <f t="shared" si="3"/>
        <v>975</v>
      </c>
      <c r="AO49" s="34">
        <f t="shared" si="4"/>
        <v>0.66666666666666663</v>
      </c>
      <c r="AP49" s="34">
        <f t="shared" si="5"/>
        <v>0.98974358974358978</v>
      </c>
      <c r="AQ49" s="33">
        <f t="shared" si="6"/>
        <v>1065</v>
      </c>
      <c r="AR49" s="37">
        <f t="shared" si="7"/>
        <v>100</v>
      </c>
      <c r="AS49" s="37">
        <f t="shared" si="8"/>
        <v>1940</v>
      </c>
    </row>
    <row r="50" spans="1:45" x14ac:dyDescent="0.25">
      <c r="A50" s="26" t="s">
        <v>186</v>
      </c>
      <c r="B50" t="s">
        <v>187</v>
      </c>
      <c r="C50" s="25">
        <v>0</v>
      </c>
      <c r="D50" s="25">
        <v>0</v>
      </c>
      <c r="E50" s="25">
        <v>0</v>
      </c>
      <c r="F50" s="25">
        <v>0</v>
      </c>
      <c r="G50" s="25">
        <v>0</v>
      </c>
      <c r="H50" s="25">
        <v>0</v>
      </c>
      <c r="I50" s="25">
        <v>20</v>
      </c>
      <c r="J50" s="25">
        <v>20</v>
      </c>
      <c r="K50" s="25">
        <v>10</v>
      </c>
      <c r="L50" s="25">
        <v>0</v>
      </c>
      <c r="M50" s="25">
        <v>100</v>
      </c>
      <c r="N50" s="25">
        <v>50</v>
      </c>
      <c r="O50" s="25">
        <v>10</v>
      </c>
      <c r="P50" s="25">
        <v>5</v>
      </c>
      <c r="Q50" s="25">
        <v>100</v>
      </c>
      <c r="R50" s="25">
        <v>135</v>
      </c>
      <c r="S50" s="25">
        <v>5</v>
      </c>
      <c r="T50" s="25">
        <v>5</v>
      </c>
      <c r="U50" s="25">
        <v>75</v>
      </c>
      <c r="V50" s="25">
        <v>210</v>
      </c>
      <c r="W50" s="25">
        <v>5</v>
      </c>
      <c r="X50" s="25">
        <v>5</v>
      </c>
      <c r="Y50" s="25">
        <v>125</v>
      </c>
      <c r="Z50" s="25">
        <v>15</v>
      </c>
      <c r="AA50" s="25">
        <v>10</v>
      </c>
      <c r="AB50" s="25">
        <v>5</v>
      </c>
      <c r="AC50" s="25">
        <v>110</v>
      </c>
      <c r="AD50" s="25">
        <v>115</v>
      </c>
      <c r="AE50" s="25">
        <v>0</v>
      </c>
      <c r="AF50" s="25">
        <v>5</v>
      </c>
      <c r="AG50" s="25">
        <v>235</v>
      </c>
      <c r="AH50" s="25">
        <v>225</v>
      </c>
      <c r="AI50" s="25" t="s">
        <v>94</v>
      </c>
      <c r="AJ50" s="25" t="s">
        <v>89</v>
      </c>
      <c r="AK50" s="32">
        <f t="shared" si="0"/>
        <v>40</v>
      </c>
      <c r="AL50" s="32">
        <f t="shared" si="1"/>
        <v>25</v>
      </c>
      <c r="AM50" s="32">
        <f t="shared" si="2"/>
        <v>765</v>
      </c>
      <c r="AN50" s="32">
        <f t="shared" si="3"/>
        <v>770</v>
      </c>
      <c r="AO50" s="34">
        <f t="shared" si="4"/>
        <v>1.6</v>
      </c>
      <c r="AP50" s="34">
        <f t="shared" si="5"/>
        <v>0.99350649350649356</v>
      </c>
      <c r="AQ50" s="33">
        <f t="shared" si="6"/>
        <v>895</v>
      </c>
      <c r="AR50" s="37">
        <f t="shared" si="7"/>
        <v>65</v>
      </c>
      <c r="AS50" s="37">
        <f t="shared" si="8"/>
        <v>1535</v>
      </c>
    </row>
    <row r="51" spans="1:45" x14ac:dyDescent="0.25">
      <c r="A51" s="26" t="s">
        <v>188</v>
      </c>
      <c r="B51" t="s">
        <v>189</v>
      </c>
      <c r="C51" s="25">
        <v>0</v>
      </c>
      <c r="D51" s="25">
        <v>0</v>
      </c>
      <c r="E51" s="25">
        <v>2.86</v>
      </c>
      <c r="F51" s="25">
        <v>0</v>
      </c>
      <c r="G51" s="25">
        <v>97.69</v>
      </c>
      <c r="H51" s="25">
        <v>28.8</v>
      </c>
      <c r="I51" s="25">
        <v>200.16</v>
      </c>
      <c r="J51" s="25">
        <v>77.260000000000005</v>
      </c>
      <c r="K51" s="25">
        <v>138.19</v>
      </c>
      <c r="L51" s="25">
        <v>81.290000000000006</v>
      </c>
      <c r="M51" s="25">
        <v>843.31</v>
      </c>
      <c r="N51" s="25">
        <v>594.86</v>
      </c>
      <c r="O51" s="25">
        <v>228.19</v>
      </c>
      <c r="P51" s="25">
        <v>192.28</v>
      </c>
      <c r="Q51" s="25">
        <v>1016.6</v>
      </c>
      <c r="R51" s="25">
        <v>1408.06</v>
      </c>
      <c r="S51" s="25">
        <v>268.52</v>
      </c>
      <c r="T51" s="25">
        <v>640</v>
      </c>
      <c r="U51" s="25">
        <v>723.74</v>
      </c>
      <c r="V51" s="25">
        <v>1744.98</v>
      </c>
      <c r="W51" s="25">
        <v>878.37</v>
      </c>
      <c r="X51" s="25">
        <v>186.06</v>
      </c>
      <c r="Y51" s="25">
        <v>963.88</v>
      </c>
      <c r="Z51" s="25">
        <v>216.98</v>
      </c>
      <c r="AA51" s="25">
        <v>262.61</v>
      </c>
      <c r="AB51" s="25">
        <v>242.13</v>
      </c>
      <c r="AC51" s="25">
        <v>964.09</v>
      </c>
      <c r="AD51" s="25">
        <v>1443.8</v>
      </c>
      <c r="AE51" s="25">
        <v>354.51</v>
      </c>
      <c r="AF51" s="25">
        <v>558.02</v>
      </c>
      <c r="AG51" s="25">
        <v>2791.41</v>
      </c>
      <c r="AH51" s="25">
        <v>3031.56</v>
      </c>
      <c r="AI51" s="25" t="s">
        <v>88</v>
      </c>
      <c r="AJ51" s="25" t="s">
        <v>89</v>
      </c>
      <c r="AK51" s="32">
        <f t="shared" si="0"/>
        <v>2228.08</v>
      </c>
      <c r="AL51" s="32">
        <f t="shared" si="1"/>
        <v>1928.58</v>
      </c>
      <c r="AM51" s="32">
        <f t="shared" si="2"/>
        <v>7506.05</v>
      </c>
      <c r="AN51" s="32">
        <f t="shared" si="3"/>
        <v>8517.5</v>
      </c>
      <c r="AO51" s="34">
        <f t="shared" si="4"/>
        <v>1.1552956060936026</v>
      </c>
      <c r="AP51" s="34">
        <f t="shared" si="5"/>
        <v>0.88125036689169356</v>
      </c>
      <c r="AQ51" s="33">
        <f t="shared" si="6"/>
        <v>10532.079999999998</v>
      </c>
      <c r="AR51" s="37">
        <f t="shared" si="7"/>
        <v>4156.66</v>
      </c>
      <c r="AS51" s="37">
        <f t="shared" si="8"/>
        <v>16023.55</v>
      </c>
    </row>
    <row r="52" spans="1:45" x14ac:dyDescent="0.25">
      <c r="A52" s="26" t="s">
        <v>190</v>
      </c>
      <c r="B52" t="s">
        <v>191</v>
      </c>
      <c r="C52" s="25">
        <v>3.84</v>
      </c>
      <c r="D52" s="25">
        <v>0</v>
      </c>
      <c r="E52" s="25">
        <v>3.42</v>
      </c>
      <c r="F52" s="25">
        <v>3.71</v>
      </c>
      <c r="G52" s="25">
        <v>324.08999999999997</v>
      </c>
      <c r="H52" s="25">
        <v>57.51</v>
      </c>
      <c r="I52" s="25">
        <v>385.96</v>
      </c>
      <c r="J52" s="25">
        <v>153.22</v>
      </c>
      <c r="K52" s="25">
        <v>342.29</v>
      </c>
      <c r="L52" s="25">
        <v>220.56</v>
      </c>
      <c r="M52" s="25">
        <v>1141.44</v>
      </c>
      <c r="N52" s="25">
        <v>800.77</v>
      </c>
      <c r="O52" s="25">
        <v>709.17</v>
      </c>
      <c r="P52" s="25">
        <v>625.27</v>
      </c>
      <c r="Q52" s="25">
        <v>2469.9499999999998</v>
      </c>
      <c r="R52" s="25">
        <v>2651.43</v>
      </c>
      <c r="S52" s="25">
        <v>705.36</v>
      </c>
      <c r="T52" s="25">
        <v>1813.38</v>
      </c>
      <c r="U52" s="25">
        <v>1378.36</v>
      </c>
      <c r="V52" s="25">
        <v>3746.35</v>
      </c>
      <c r="W52" s="25">
        <v>2438.7600000000002</v>
      </c>
      <c r="X52" s="25">
        <v>472.76</v>
      </c>
      <c r="Y52" s="25">
        <v>2929.65</v>
      </c>
      <c r="Z52" s="25">
        <v>529.63</v>
      </c>
      <c r="AA52" s="25">
        <v>1031.1400000000001</v>
      </c>
      <c r="AB52" s="25">
        <v>726.61</v>
      </c>
      <c r="AC52" s="25">
        <v>1910.56</v>
      </c>
      <c r="AD52" s="25">
        <v>2699.42</v>
      </c>
      <c r="AE52" s="25">
        <v>1465.78</v>
      </c>
      <c r="AF52" s="25">
        <v>2883.47</v>
      </c>
      <c r="AG52" s="25">
        <v>8003.3</v>
      </c>
      <c r="AH52" s="25">
        <v>8658.15</v>
      </c>
      <c r="AI52" s="25" t="s">
        <v>88</v>
      </c>
      <c r="AJ52" s="25" t="s">
        <v>89</v>
      </c>
      <c r="AK52" s="32">
        <f t="shared" si="0"/>
        <v>7020.43</v>
      </c>
      <c r="AL52" s="32">
        <f t="shared" si="1"/>
        <v>6799.56</v>
      </c>
      <c r="AM52" s="32">
        <f t="shared" si="2"/>
        <v>18222.64</v>
      </c>
      <c r="AN52" s="32">
        <f t="shared" si="3"/>
        <v>19242.68</v>
      </c>
      <c r="AO52" s="34">
        <f t="shared" si="4"/>
        <v>1.0324829841930949</v>
      </c>
      <c r="AP52" s="34">
        <f t="shared" si="5"/>
        <v>0.94699075180796022</v>
      </c>
      <c r="AQ52" s="33">
        <f t="shared" si="6"/>
        <v>23906.879999999997</v>
      </c>
      <c r="AR52" s="37">
        <f t="shared" si="7"/>
        <v>13819.990000000002</v>
      </c>
      <c r="AS52" s="37">
        <f t="shared" si="8"/>
        <v>37465.32</v>
      </c>
    </row>
    <row r="53" spans="1:45" x14ac:dyDescent="0.25">
      <c r="A53" s="26" t="s">
        <v>192</v>
      </c>
      <c r="B53" t="s">
        <v>193</v>
      </c>
      <c r="C53" s="25">
        <v>5.03</v>
      </c>
      <c r="D53" s="25">
        <v>0</v>
      </c>
      <c r="E53" s="25">
        <v>10.07</v>
      </c>
      <c r="F53" s="25">
        <v>0</v>
      </c>
      <c r="G53" s="25">
        <v>5.03</v>
      </c>
      <c r="H53" s="25">
        <v>0</v>
      </c>
      <c r="I53" s="25">
        <v>20.13</v>
      </c>
      <c r="J53" s="25">
        <v>25.16</v>
      </c>
      <c r="K53" s="25">
        <v>5.03</v>
      </c>
      <c r="L53" s="25">
        <v>5.03</v>
      </c>
      <c r="M53" s="25">
        <v>110.72</v>
      </c>
      <c r="N53" s="25">
        <v>55.36</v>
      </c>
      <c r="O53" s="25">
        <v>5.03</v>
      </c>
      <c r="P53" s="25">
        <v>5.03</v>
      </c>
      <c r="Q53" s="25">
        <v>125.82</v>
      </c>
      <c r="R53" s="25">
        <v>125.82</v>
      </c>
      <c r="S53" s="25">
        <v>5.03</v>
      </c>
      <c r="T53" s="25">
        <v>5.03</v>
      </c>
      <c r="U53" s="25">
        <v>60.39</v>
      </c>
      <c r="V53" s="25">
        <v>166.09</v>
      </c>
      <c r="W53" s="25">
        <v>10.07</v>
      </c>
      <c r="X53" s="25">
        <v>0</v>
      </c>
      <c r="Y53" s="25">
        <v>115.76</v>
      </c>
      <c r="Z53" s="25">
        <v>15.1</v>
      </c>
      <c r="AA53" s="25">
        <v>10.07</v>
      </c>
      <c r="AB53" s="25">
        <v>15.1</v>
      </c>
      <c r="AC53" s="25">
        <v>130.74</v>
      </c>
      <c r="AD53" s="25">
        <v>195.36</v>
      </c>
      <c r="AE53" s="25">
        <v>0</v>
      </c>
      <c r="AF53" s="25">
        <v>25.16</v>
      </c>
      <c r="AG53" s="25">
        <v>196.28</v>
      </c>
      <c r="AH53" s="25">
        <v>271.43</v>
      </c>
      <c r="AI53" s="25" t="s">
        <v>94</v>
      </c>
      <c r="AJ53" s="25" t="s">
        <v>89</v>
      </c>
      <c r="AK53" s="32">
        <f t="shared" si="0"/>
        <v>45.29</v>
      </c>
      <c r="AL53" s="32">
        <f t="shared" si="1"/>
        <v>55.349999999999994</v>
      </c>
      <c r="AM53" s="32">
        <f t="shared" si="2"/>
        <v>769.91</v>
      </c>
      <c r="AN53" s="32">
        <f t="shared" si="3"/>
        <v>854.31999999999994</v>
      </c>
      <c r="AO53" s="34">
        <f t="shared" si="4"/>
        <v>0.81824751580849153</v>
      </c>
      <c r="AP53" s="34">
        <f t="shared" si="5"/>
        <v>0.90119627305927519</v>
      </c>
      <c r="AQ53" s="33">
        <f t="shared" si="6"/>
        <v>880.73</v>
      </c>
      <c r="AR53" s="37">
        <f t="shared" si="7"/>
        <v>100.63999999999999</v>
      </c>
      <c r="AS53" s="37">
        <f t="shared" si="8"/>
        <v>1624.23</v>
      </c>
    </row>
    <row r="54" spans="1:45" x14ac:dyDescent="0.25">
      <c r="A54" s="26" t="s">
        <v>194</v>
      </c>
      <c r="B54" t="s">
        <v>195</v>
      </c>
      <c r="C54" s="25">
        <v>0</v>
      </c>
      <c r="D54" s="25">
        <v>0</v>
      </c>
      <c r="E54" s="25">
        <v>0</v>
      </c>
      <c r="F54" s="25">
        <v>0</v>
      </c>
      <c r="G54" s="25">
        <v>20.14</v>
      </c>
      <c r="H54" s="25">
        <v>0</v>
      </c>
      <c r="I54" s="25">
        <v>35.25</v>
      </c>
      <c r="J54" s="25">
        <v>25.14</v>
      </c>
      <c r="K54" s="25">
        <v>15.11</v>
      </c>
      <c r="L54" s="25">
        <v>25.18</v>
      </c>
      <c r="M54" s="25">
        <v>266.91000000000003</v>
      </c>
      <c r="N54" s="25">
        <v>135.94</v>
      </c>
      <c r="O54" s="25">
        <v>45.25</v>
      </c>
      <c r="P54" s="25">
        <v>50.29</v>
      </c>
      <c r="Q54" s="25">
        <v>387.7</v>
      </c>
      <c r="R54" s="25">
        <v>362.59</v>
      </c>
      <c r="S54" s="25">
        <v>20.14</v>
      </c>
      <c r="T54" s="25">
        <v>80.58</v>
      </c>
      <c r="U54" s="25">
        <v>181.3</v>
      </c>
      <c r="V54" s="25">
        <v>372.67</v>
      </c>
      <c r="W54" s="25">
        <v>90.65</v>
      </c>
      <c r="X54" s="25">
        <v>15.11</v>
      </c>
      <c r="Y54" s="25">
        <v>241.73</v>
      </c>
      <c r="Z54" s="25">
        <v>65.47</v>
      </c>
      <c r="AA54" s="25">
        <v>35.25</v>
      </c>
      <c r="AB54" s="25">
        <v>45.34</v>
      </c>
      <c r="AC54" s="25">
        <v>297.17</v>
      </c>
      <c r="AD54" s="25">
        <v>408.04</v>
      </c>
      <c r="AE54" s="25">
        <v>30.14</v>
      </c>
      <c r="AF54" s="25">
        <v>65.33</v>
      </c>
      <c r="AG54" s="25">
        <v>770.16</v>
      </c>
      <c r="AH54" s="25">
        <v>760.12</v>
      </c>
      <c r="AI54" s="25" t="s">
        <v>88</v>
      </c>
      <c r="AJ54" s="25" t="s">
        <v>89</v>
      </c>
      <c r="AK54" s="32">
        <f t="shared" si="0"/>
        <v>256.68</v>
      </c>
      <c r="AL54" s="32">
        <f t="shared" si="1"/>
        <v>281.83000000000004</v>
      </c>
      <c r="AM54" s="32">
        <f t="shared" si="2"/>
        <v>2180.2200000000003</v>
      </c>
      <c r="AN54" s="32">
        <f t="shared" si="3"/>
        <v>2129.9699999999998</v>
      </c>
      <c r="AO54" s="34">
        <f t="shared" si="4"/>
        <v>0.91076180676294205</v>
      </c>
      <c r="AP54" s="34">
        <f t="shared" si="5"/>
        <v>1.0235918815757969</v>
      </c>
      <c r="AQ54" s="33">
        <f t="shared" si="6"/>
        <v>2437.15</v>
      </c>
      <c r="AR54" s="37">
        <f t="shared" si="7"/>
        <v>538.51</v>
      </c>
      <c r="AS54" s="37">
        <f t="shared" si="8"/>
        <v>4310.1900000000005</v>
      </c>
    </row>
    <row r="55" spans="1:45" x14ac:dyDescent="0.25">
      <c r="A55" s="26" t="s">
        <v>196</v>
      </c>
      <c r="B55" t="s">
        <v>197</v>
      </c>
      <c r="C55" s="25">
        <v>0</v>
      </c>
      <c r="D55" s="25">
        <v>0</v>
      </c>
      <c r="E55" s="25">
        <v>0</v>
      </c>
      <c r="F55" s="25">
        <v>0</v>
      </c>
      <c r="G55" s="25">
        <v>0</v>
      </c>
      <c r="H55" s="25">
        <v>0</v>
      </c>
      <c r="I55" s="25">
        <v>5.01</v>
      </c>
      <c r="J55" s="25">
        <v>10.029999999999999</v>
      </c>
      <c r="K55" s="25">
        <v>10.029999999999999</v>
      </c>
      <c r="L55" s="25">
        <v>0</v>
      </c>
      <c r="M55" s="25">
        <v>40.119999999999997</v>
      </c>
      <c r="N55" s="25">
        <v>5.01</v>
      </c>
      <c r="O55" s="25">
        <v>0</v>
      </c>
      <c r="P55" s="25">
        <v>10.029999999999999</v>
      </c>
      <c r="Q55" s="25">
        <v>15.04</v>
      </c>
      <c r="R55" s="25">
        <v>25.07</v>
      </c>
      <c r="S55" s="25">
        <v>0</v>
      </c>
      <c r="T55" s="25">
        <v>15.04</v>
      </c>
      <c r="U55" s="25">
        <v>5.01</v>
      </c>
      <c r="V55" s="25">
        <v>30.09</v>
      </c>
      <c r="W55" s="25">
        <v>5.01</v>
      </c>
      <c r="X55" s="25">
        <v>5.01</v>
      </c>
      <c r="Y55" s="25">
        <v>5.01</v>
      </c>
      <c r="Z55" s="25">
        <v>0</v>
      </c>
      <c r="AA55" s="25">
        <v>5.01</v>
      </c>
      <c r="AB55" s="25">
        <v>10.029999999999999</v>
      </c>
      <c r="AC55" s="25">
        <v>35.1</v>
      </c>
      <c r="AD55" s="25">
        <v>20.059999999999999</v>
      </c>
      <c r="AE55" s="25">
        <v>5.01</v>
      </c>
      <c r="AF55" s="25">
        <v>0</v>
      </c>
      <c r="AG55" s="25">
        <v>45.13</v>
      </c>
      <c r="AH55" s="25">
        <v>30.09</v>
      </c>
      <c r="AI55" s="25" t="s">
        <v>94</v>
      </c>
      <c r="AJ55" s="25" t="s">
        <v>89</v>
      </c>
      <c r="AK55" s="32">
        <f t="shared" si="0"/>
        <v>25.059999999999995</v>
      </c>
      <c r="AL55" s="32">
        <f t="shared" si="1"/>
        <v>40.11</v>
      </c>
      <c r="AM55" s="32">
        <f t="shared" si="2"/>
        <v>150.41999999999999</v>
      </c>
      <c r="AN55" s="32">
        <f t="shared" si="3"/>
        <v>120.35000000000001</v>
      </c>
      <c r="AO55" s="34">
        <f t="shared" si="4"/>
        <v>0.62478184991273988</v>
      </c>
      <c r="AP55" s="34">
        <f t="shared" si="5"/>
        <v>1.2498545907769005</v>
      </c>
      <c r="AQ55" s="33">
        <f t="shared" si="6"/>
        <v>185.50999999999996</v>
      </c>
      <c r="AR55" s="37">
        <f t="shared" si="7"/>
        <v>65.169999999999987</v>
      </c>
      <c r="AS55" s="37">
        <f t="shared" si="8"/>
        <v>270.77</v>
      </c>
    </row>
    <row r="56" spans="1:45" x14ac:dyDescent="0.25">
      <c r="A56" s="26" t="s">
        <v>198</v>
      </c>
      <c r="B56" t="s">
        <v>199</v>
      </c>
      <c r="C56" s="25">
        <v>0</v>
      </c>
      <c r="D56" s="25">
        <v>0</v>
      </c>
      <c r="E56" s="25">
        <v>0</v>
      </c>
      <c r="F56" s="25">
        <v>0</v>
      </c>
      <c r="G56" s="25">
        <v>0</v>
      </c>
      <c r="H56" s="25">
        <v>0</v>
      </c>
      <c r="I56" s="25">
        <v>4.84</v>
      </c>
      <c r="J56" s="25">
        <v>4.84</v>
      </c>
      <c r="K56" s="25">
        <v>0</v>
      </c>
      <c r="L56" s="25">
        <v>0</v>
      </c>
      <c r="M56" s="25">
        <v>9.67</v>
      </c>
      <c r="N56" s="25">
        <v>0</v>
      </c>
      <c r="O56" s="25">
        <v>0</v>
      </c>
      <c r="P56" s="25">
        <v>0</v>
      </c>
      <c r="Q56" s="25">
        <v>24.18</v>
      </c>
      <c r="R56" s="25">
        <v>19.350000000000001</v>
      </c>
      <c r="S56" s="25">
        <v>0</v>
      </c>
      <c r="T56" s="25">
        <v>0</v>
      </c>
      <c r="U56" s="25">
        <v>14.51</v>
      </c>
      <c r="V56" s="25">
        <v>24.18</v>
      </c>
      <c r="W56" s="25">
        <v>4.84</v>
      </c>
      <c r="X56" s="25">
        <v>0</v>
      </c>
      <c r="Y56" s="25">
        <v>4.84</v>
      </c>
      <c r="Z56" s="25">
        <v>0</v>
      </c>
      <c r="AA56" s="25">
        <v>0</v>
      </c>
      <c r="AB56" s="25">
        <v>0</v>
      </c>
      <c r="AC56" s="25">
        <v>43.53</v>
      </c>
      <c r="AD56" s="25">
        <v>33.86</v>
      </c>
      <c r="AE56" s="25">
        <v>0</v>
      </c>
      <c r="AF56" s="25">
        <v>4.84</v>
      </c>
      <c r="AG56" s="25">
        <v>38.700000000000003</v>
      </c>
      <c r="AH56" s="25">
        <v>33.86</v>
      </c>
      <c r="AI56" s="25" t="s">
        <v>94</v>
      </c>
      <c r="AJ56" s="25" t="s">
        <v>89</v>
      </c>
      <c r="AK56" s="32">
        <f t="shared" si="0"/>
        <v>4.84</v>
      </c>
      <c r="AL56" s="32">
        <f t="shared" si="1"/>
        <v>4.84</v>
      </c>
      <c r="AM56" s="32">
        <f t="shared" si="2"/>
        <v>140.26999999999998</v>
      </c>
      <c r="AN56" s="32">
        <f t="shared" si="3"/>
        <v>116.09</v>
      </c>
      <c r="AO56" s="34">
        <f t="shared" si="4"/>
        <v>1</v>
      </c>
      <c r="AP56" s="34">
        <f t="shared" si="5"/>
        <v>1.2082866741321387</v>
      </c>
      <c r="AQ56" s="33">
        <f t="shared" si="6"/>
        <v>111.25</v>
      </c>
      <c r="AR56" s="37">
        <f t="shared" si="7"/>
        <v>9.68</v>
      </c>
      <c r="AS56" s="37">
        <f t="shared" si="8"/>
        <v>256.36</v>
      </c>
    </row>
    <row r="57" spans="1:45" x14ac:dyDescent="0.25">
      <c r="A57" s="26" t="s">
        <v>200</v>
      </c>
      <c r="B57" t="s">
        <v>201</v>
      </c>
      <c r="C57" s="25">
        <v>0</v>
      </c>
      <c r="D57" s="25">
        <v>0</v>
      </c>
      <c r="E57" s="25">
        <v>0</v>
      </c>
      <c r="F57" s="25">
        <v>0</v>
      </c>
      <c r="G57" s="25">
        <v>0</v>
      </c>
      <c r="H57" s="25">
        <v>0</v>
      </c>
      <c r="I57" s="25">
        <v>5</v>
      </c>
      <c r="J57" s="25">
        <v>0</v>
      </c>
      <c r="K57" s="25">
        <v>0</v>
      </c>
      <c r="L57" s="25">
        <v>0</v>
      </c>
      <c r="M57" s="25">
        <v>65</v>
      </c>
      <c r="N57" s="25">
        <v>30</v>
      </c>
      <c r="O57" s="25">
        <v>0</v>
      </c>
      <c r="P57" s="25">
        <v>0</v>
      </c>
      <c r="Q57" s="25">
        <v>45</v>
      </c>
      <c r="R57" s="25">
        <v>70</v>
      </c>
      <c r="S57" s="25">
        <v>5</v>
      </c>
      <c r="T57" s="25">
        <v>20</v>
      </c>
      <c r="U57" s="25">
        <v>25</v>
      </c>
      <c r="V57" s="25">
        <v>35</v>
      </c>
      <c r="W57" s="25">
        <v>5</v>
      </c>
      <c r="X57" s="25">
        <v>0</v>
      </c>
      <c r="Y57" s="25">
        <v>35</v>
      </c>
      <c r="Z57" s="25">
        <v>5</v>
      </c>
      <c r="AA57" s="25">
        <v>5</v>
      </c>
      <c r="AB57" s="25">
        <v>5</v>
      </c>
      <c r="AC57" s="25">
        <v>40</v>
      </c>
      <c r="AD57" s="25">
        <v>40</v>
      </c>
      <c r="AE57" s="25">
        <v>0</v>
      </c>
      <c r="AF57" s="25">
        <v>5</v>
      </c>
      <c r="AG57" s="25">
        <v>45</v>
      </c>
      <c r="AH57" s="25">
        <v>100</v>
      </c>
      <c r="AI57" s="25" t="s">
        <v>94</v>
      </c>
      <c r="AJ57" s="25" t="s">
        <v>89</v>
      </c>
      <c r="AK57" s="32">
        <f t="shared" si="0"/>
        <v>15</v>
      </c>
      <c r="AL57" s="32">
        <f t="shared" si="1"/>
        <v>30</v>
      </c>
      <c r="AM57" s="32">
        <f t="shared" si="2"/>
        <v>260</v>
      </c>
      <c r="AN57" s="32">
        <f t="shared" si="3"/>
        <v>280</v>
      </c>
      <c r="AO57" s="34">
        <f t="shared" si="4"/>
        <v>0.5</v>
      </c>
      <c r="AP57" s="34">
        <f t="shared" si="5"/>
        <v>0.9285714285714286</v>
      </c>
      <c r="AQ57" s="33">
        <f t="shared" si="6"/>
        <v>345</v>
      </c>
      <c r="AR57" s="37">
        <f t="shared" si="7"/>
        <v>45</v>
      </c>
      <c r="AS57" s="37">
        <f t="shared" si="8"/>
        <v>540</v>
      </c>
    </row>
    <row r="58" spans="1:45" x14ac:dyDescent="0.25">
      <c r="A58" s="26" t="s">
        <v>202</v>
      </c>
      <c r="B58" t="s">
        <v>203</v>
      </c>
      <c r="C58" s="25">
        <v>0</v>
      </c>
      <c r="D58" s="25">
        <v>0</v>
      </c>
      <c r="E58" s="25">
        <v>0</v>
      </c>
      <c r="F58" s="25">
        <v>0</v>
      </c>
      <c r="G58" s="25">
        <v>25.22</v>
      </c>
      <c r="H58" s="25">
        <v>10.16</v>
      </c>
      <c r="I58" s="25">
        <v>136.88</v>
      </c>
      <c r="J58" s="25">
        <v>71.06</v>
      </c>
      <c r="K58" s="25">
        <v>86.03</v>
      </c>
      <c r="L58" s="25">
        <v>60.7</v>
      </c>
      <c r="M58" s="25">
        <v>517.17999999999995</v>
      </c>
      <c r="N58" s="25">
        <v>410.9</v>
      </c>
      <c r="O58" s="25">
        <v>106.36</v>
      </c>
      <c r="P58" s="25">
        <v>96.1</v>
      </c>
      <c r="Q58" s="25">
        <v>491.9</v>
      </c>
      <c r="R58" s="25">
        <v>796.68</v>
      </c>
      <c r="S58" s="25">
        <v>45.51</v>
      </c>
      <c r="T58" s="25">
        <v>172.09</v>
      </c>
      <c r="U58" s="25">
        <v>329.67</v>
      </c>
      <c r="V58" s="25">
        <v>745.15</v>
      </c>
      <c r="W58" s="25">
        <v>146.56</v>
      </c>
      <c r="X58" s="25">
        <v>30.22</v>
      </c>
      <c r="Y58" s="25">
        <v>410.98</v>
      </c>
      <c r="Z58" s="25">
        <v>70.989999999999995</v>
      </c>
      <c r="AA58" s="25">
        <v>86.28</v>
      </c>
      <c r="AB58" s="25">
        <v>70.94</v>
      </c>
      <c r="AC58" s="25">
        <v>569.65</v>
      </c>
      <c r="AD58" s="25">
        <v>819.87</v>
      </c>
      <c r="AE58" s="25">
        <v>75.52</v>
      </c>
      <c r="AF58" s="25">
        <v>111.01</v>
      </c>
      <c r="AG58" s="25">
        <v>1403.94</v>
      </c>
      <c r="AH58" s="25">
        <v>1369.12</v>
      </c>
      <c r="AI58" s="25" t="s">
        <v>88</v>
      </c>
      <c r="AJ58" s="25" t="s">
        <v>89</v>
      </c>
      <c r="AK58" s="32">
        <f t="shared" si="0"/>
        <v>571.48</v>
      </c>
      <c r="AL58" s="32">
        <f t="shared" si="1"/>
        <v>551.22</v>
      </c>
      <c r="AM58" s="32">
        <f t="shared" si="2"/>
        <v>3860.2000000000003</v>
      </c>
      <c r="AN58" s="32">
        <f t="shared" si="3"/>
        <v>4283.7699999999995</v>
      </c>
      <c r="AO58" s="34">
        <f t="shared" si="4"/>
        <v>1.0367548347302347</v>
      </c>
      <c r="AP58" s="34">
        <f t="shared" si="5"/>
        <v>0.901122142411941</v>
      </c>
      <c r="AQ58" s="33">
        <f t="shared" si="6"/>
        <v>4760.34</v>
      </c>
      <c r="AR58" s="37">
        <f t="shared" si="7"/>
        <v>1122.7</v>
      </c>
      <c r="AS58" s="37">
        <f t="shared" si="8"/>
        <v>8143.9699999999993</v>
      </c>
    </row>
    <row r="59" spans="1:45" x14ac:dyDescent="0.25">
      <c r="A59" s="26" t="s">
        <v>204</v>
      </c>
      <c r="B59" t="s">
        <v>205</v>
      </c>
      <c r="C59" s="25">
        <v>0</v>
      </c>
      <c r="D59" s="25">
        <v>0</v>
      </c>
      <c r="E59" s="25">
        <v>0</v>
      </c>
      <c r="F59" s="25">
        <v>0</v>
      </c>
      <c r="G59" s="25">
        <v>0</v>
      </c>
      <c r="H59" s="25">
        <v>0</v>
      </c>
      <c r="I59" s="25">
        <v>24.76</v>
      </c>
      <c r="J59" s="25">
        <v>24.77</v>
      </c>
      <c r="K59" s="25">
        <v>4.99</v>
      </c>
      <c r="L59" s="25">
        <v>0</v>
      </c>
      <c r="M59" s="25">
        <v>35.200000000000003</v>
      </c>
      <c r="N59" s="25">
        <v>10.1</v>
      </c>
      <c r="O59" s="25">
        <v>5.03</v>
      </c>
      <c r="P59" s="25">
        <v>0</v>
      </c>
      <c r="Q59" s="25">
        <v>54.77</v>
      </c>
      <c r="R59" s="25">
        <v>59.58</v>
      </c>
      <c r="S59" s="25">
        <v>10.01</v>
      </c>
      <c r="T59" s="25">
        <v>0</v>
      </c>
      <c r="U59" s="25">
        <v>24.97</v>
      </c>
      <c r="V59" s="25">
        <v>49.7</v>
      </c>
      <c r="W59" s="25">
        <v>10.01</v>
      </c>
      <c r="X59" s="25">
        <v>0</v>
      </c>
      <c r="Y59" s="25">
        <v>34.700000000000003</v>
      </c>
      <c r="Z59" s="25">
        <v>4.9400000000000004</v>
      </c>
      <c r="AA59" s="25">
        <v>5.07</v>
      </c>
      <c r="AB59" s="25">
        <v>5.07</v>
      </c>
      <c r="AC59" s="25">
        <v>115.65</v>
      </c>
      <c r="AD59" s="25">
        <v>115.6</v>
      </c>
      <c r="AE59" s="25">
        <v>0</v>
      </c>
      <c r="AF59" s="25">
        <v>4.9400000000000004</v>
      </c>
      <c r="AG59" s="25">
        <v>79.239999999999995</v>
      </c>
      <c r="AH59" s="25">
        <v>143.63999999999999</v>
      </c>
      <c r="AI59" s="25" t="s">
        <v>94</v>
      </c>
      <c r="AJ59" s="25" t="s">
        <v>89</v>
      </c>
      <c r="AK59" s="32">
        <f t="shared" si="0"/>
        <v>35.11</v>
      </c>
      <c r="AL59" s="32">
        <f t="shared" si="1"/>
        <v>10.010000000000002</v>
      </c>
      <c r="AM59" s="32">
        <f t="shared" si="2"/>
        <v>369.29000000000008</v>
      </c>
      <c r="AN59" s="32">
        <f t="shared" si="3"/>
        <v>408.32999999999993</v>
      </c>
      <c r="AO59" s="34">
        <f t="shared" si="4"/>
        <v>3.5074925074925067</v>
      </c>
      <c r="AP59" s="34">
        <f t="shared" si="5"/>
        <v>0.90439105625352079</v>
      </c>
      <c r="AQ59" s="33">
        <f t="shared" si="6"/>
        <v>353.53</v>
      </c>
      <c r="AR59" s="37">
        <f t="shared" si="7"/>
        <v>45.120000000000005</v>
      </c>
      <c r="AS59" s="37">
        <f t="shared" si="8"/>
        <v>777.62</v>
      </c>
    </row>
    <row r="60" spans="1:45" x14ac:dyDescent="0.25">
      <c r="A60" s="26" t="s">
        <v>206</v>
      </c>
      <c r="B60" t="s">
        <v>207</v>
      </c>
      <c r="C60" s="25">
        <v>0</v>
      </c>
      <c r="D60" s="25">
        <v>0</v>
      </c>
      <c r="E60" s="25">
        <v>0</v>
      </c>
      <c r="F60" s="25">
        <v>0</v>
      </c>
      <c r="G60" s="25">
        <v>15.13</v>
      </c>
      <c r="H60" s="25">
        <v>0</v>
      </c>
      <c r="I60" s="25">
        <v>25.22</v>
      </c>
      <c r="J60" s="25">
        <v>25.22</v>
      </c>
      <c r="K60" s="25">
        <v>0</v>
      </c>
      <c r="L60" s="25">
        <v>5.04</v>
      </c>
      <c r="M60" s="25">
        <v>75.650000000000006</v>
      </c>
      <c r="N60" s="25">
        <v>55.48</v>
      </c>
      <c r="O60" s="25">
        <v>5.04</v>
      </c>
      <c r="P60" s="25">
        <v>10.09</v>
      </c>
      <c r="Q60" s="25">
        <v>121.04</v>
      </c>
      <c r="R60" s="25">
        <v>131.13</v>
      </c>
      <c r="S60" s="25">
        <v>5.04</v>
      </c>
      <c r="T60" s="25">
        <v>5.04</v>
      </c>
      <c r="U60" s="25">
        <v>40.35</v>
      </c>
      <c r="V60" s="25">
        <v>116</v>
      </c>
      <c r="W60" s="25">
        <v>15.13</v>
      </c>
      <c r="X60" s="25">
        <v>5.04</v>
      </c>
      <c r="Y60" s="25">
        <v>100.87</v>
      </c>
      <c r="Z60" s="25">
        <v>10.09</v>
      </c>
      <c r="AA60" s="25">
        <v>5.04</v>
      </c>
      <c r="AB60" s="25">
        <v>5.04</v>
      </c>
      <c r="AC60" s="25">
        <v>181.57</v>
      </c>
      <c r="AD60" s="25">
        <v>156.35</v>
      </c>
      <c r="AE60" s="25">
        <v>0</v>
      </c>
      <c r="AF60" s="25">
        <v>10.09</v>
      </c>
      <c r="AG60" s="25">
        <v>206.78</v>
      </c>
      <c r="AH60" s="25">
        <v>196.7</v>
      </c>
      <c r="AI60" s="25" t="s">
        <v>94</v>
      </c>
      <c r="AJ60" s="25" t="s">
        <v>89</v>
      </c>
      <c r="AK60" s="32">
        <f t="shared" si="0"/>
        <v>45.38</v>
      </c>
      <c r="AL60" s="32">
        <f t="shared" si="1"/>
        <v>40.339999999999996</v>
      </c>
      <c r="AM60" s="32">
        <f t="shared" si="2"/>
        <v>751.48</v>
      </c>
      <c r="AN60" s="32">
        <f t="shared" si="3"/>
        <v>690.97</v>
      </c>
      <c r="AO60" s="34">
        <f t="shared" si="4"/>
        <v>1.1249380267724345</v>
      </c>
      <c r="AP60" s="34">
        <f t="shared" si="5"/>
        <v>1.0875725429468717</v>
      </c>
      <c r="AQ60" s="33">
        <f t="shared" si="6"/>
        <v>766.6</v>
      </c>
      <c r="AR60" s="37">
        <f t="shared" si="7"/>
        <v>85.72</v>
      </c>
      <c r="AS60" s="37">
        <f t="shared" si="8"/>
        <v>1442.45</v>
      </c>
    </row>
    <row r="61" spans="1:45" x14ac:dyDescent="0.25">
      <c r="A61" s="26" t="s">
        <v>208</v>
      </c>
      <c r="B61" t="s">
        <v>209</v>
      </c>
      <c r="C61" s="25">
        <v>2.57</v>
      </c>
      <c r="D61" s="25">
        <v>0</v>
      </c>
      <c r="E61" s="25">
        <v>10.37</v>
      </c>
      <c r="F61" s="25">
        <v>3.02</v>
      </c>
      <c r="G61" s="25">
        <v>73.69</v>
      </c>
      <c r="H61" s="25">
        <v>4.9800000000000004</v>
      </c>
      <c r="I61" s="25">
        <v>92.63</v>
      </c>
      <c r="J61" s="25">
        <v>32.89</v>
      </c>
      <c r="K61" s="25">
        <v>39.58</v>
      </c>
      <c r="L61" s="25">
        <v>24.32</v>
      </c>
      <c r="M61" s="25">
        <v>545.74</v>
      </c>
      <c r="N61" s="25">
        <v>296.64</v>
      </c>
      <c r="O61" s="25">
        <v>73.819999999999993</v>
      </c>
      <c r="P61" s="25">
        <v>47.35</v>
      </c>
      <c r="Q61" s="25">
        <v>573.16</v>
      </c>
      <c r="R61" s="25">
        <v>731.5</v>
      </c>
      <c r="S61" s="25">
        <v>61.15</v>
      </c>
      <c r="T61" s="25">
        <v>229.81</v>
      </c>
      <c r="U61" s="25">
        <v>291.83</v>
      </c>
      <c r="V61" s="25">
        <v>844.07</v>
      </c>
      <c r="W61" s="25">
        <v>151.31</v>
      </c>
      <c r="X61" s="25">
        <v>65.900000000000006</v>
      </c>
      <c r="Y61" s="25">
        <v>561.64</v>
      </c>
      <c r="Z61" s="25">
        <v>226.34</v>
      </c>
      <c r="AA61" s="25">
        <v>92.91</v>
      </c>
      <c r="AB61" s="25">
        <v>88.27</v>
      </c>
      <c r="AC61" s="25">
        <v>811.39</v>
      </c>
      <c r="AD61" s="25">
        <v>1270.8699999999999</v>
      </c>
      <c r="AE61" s="25">
        <v>79.23</v>
      </c>
      <c r="AF61" s="25">
        <v>176.13</v>
      </c>
      <c r="AG61" s="25">
        <v>1641.34</v>
      </c>
      <c r="AH61" s="25">
        <v>1555.65</v>
      </c>
      <c r="AI61" s="25" t="s">
        <v>94</v>
      </c>
      <c r="AJ61" s="25" t="s">
        <v>89</v>
      </c>
      <c r="AK61" s="32">
        <f t="shared" si="0"/>
        <v>574.26</v>
      </c>
      <c r="AL61" s="32">
        <f t="shared" si="1"/>
        <v>636.76</v>
      </c>
      <c r="AM61" s="32">
        <f t="shared" si="2"/>
        <v>4528.0999999999995</v>
      </c>
      <c r="AN61" s="32">
        <f t="shared" si="3"/>
        <v>4960.9799999999996</v>
      </c>
      <c r="AO61" s="34">
        <f t="shared" si="4"/>
        <v>0.90184684967648721</v>
      </c>
      <c r="AP61" s="34">
        <f t="shared" si="5"/>
        <v>0.91274304673673345</v>
      </c>
      <c r="AQ61" s="33">
        <f t="shared" si="6"/>
        <v>4984.3100000000004</v>
      </c>
      <c r="AR61" s="37">
        <f t="shared" si="7"/>
        <v>1211.02</v>
      </c>
      <c r="AS61" s="37">
        <f t="shared" si="8"/>
        <v>9489.0799999999981</v>
      </c>
    </row>
    <row r="62" spans="1:45" x14ac:dyDescent="0.25">
      <c r="A62" s="26" t="s">
        <v>210</v>
      </c>
      <c r="B62" t="s">
        <v>211</v>
      </c>
      <c r="C62" s="25">
        <v>0</v>
      </c>
      <c r="D62" s="25">
        <v>0</v>
      </c>
      <c r="E62" s="25">
        <v>0</v>
      </c>
      <c r="F62" s="25">
        <v>2.6</v>
      </c>
      <c r="G62" s="25">
        <v>117.47</v>
      </c>
      <c r="H62" s="25">
        <v>34.31</v>
      </c>
      <c r="I62" s="25">
        <v>332.55</v>
      </c>
      <c r="J62" s="25">
        <v>126.45</v>
      </c>
      <c r="K62" s="25">
        <v>164.16</v>
      </c>
      <c r="L62" s="25">
        <v>107.4</v>
      </c>
      <c r="M62" s="25">
        <v>1648.49</v>
      </c>
      <c r="N62" s="25">
        <v>1141.33</v>
      </c>
      <c r="O62" s="25">
        <v>211.05</v>
      </c>
      <c r="P62" s="25">
        <v>207.87</v>
      </c>
      <c r="Q62" s="25">
        <v>1470.9</v>
      </c>
      <c r="R62" s="25">
        <v>1813.08</v>
      </c>
      <c r="S62" s="25">
        <v>148.43</v>
      </c>
      <c r="T62" s="25">
        <v>645.64</v>
      </c>
      <c r="U62" s="25">
        <v>1077.7</v>
      </c>
      <c r="V62" s="25">
        <v>2353.7600000000002</v>
      </c>
      <c r="W62" s="25">
        <v>479.59</v>
      </c>
      <c r="X62" s="25">
        <v>99.67</v>
      </c>
      <c r="Y62" s="25">
        <v>1065.82</v>
      </c>
      <c r="Z62" s="25">
        <v>130.52000000000001</v>
      </c>
      <c r="AA62" s="25">
        <v>338.73</v>
      </c>
      <c r="AB62" s="25">
        <v>445.4</v>
      </c>
      <c r="AC62" s="25">
        <v>2240.96</v>
      </c>
      <c r="AD62" s="25">
        <v>2915.84</v>
      </c>
      <c r="AE62" s="25">
        <v>234.03</v>
      </c>
      <c r="AF62" s="25">
        <v>546.88</v>
      </c>
      <c r="AG62" s="25">
        <v>4300.83</v>
      </c>
      <c r="AH62" s="25">
        <v>4432.78</v>
      </c>
      <c r="AI62" s="25" t="s">
        <v>88</v>
      </c>
      <c r="AJ62" s="25" t="s">
        <v>89</v>
      </c>
      <c r="AK62" s="32">
        <f t="shared" si="0"/>
        <v>1693.46</v>
      </c>
      <c r="AL62" s="32">
        <f t="shared" si="1"/>
        <v>2087.17</v>
      </c>
      <c r="AM62" s="32">
        <f t="shared" si="2"/>
        <v>12137.25</v>
      </c>
      <c r="AN62" s="32">
        <f t="shared" si="3"/>
        <v>12916.36</v>
      </c>
      <c r="AO62" s="34">
        <f t="shared" si="4"/>
        <v>0.8113665872928415</v>
      </c>
      <c r="AP62" s="34">
        <f t="shared" si="5"/>
        <v>0.93968037434695217</v>
      </c>
      <c r="AQ62" s="33">
        <f t="shared" si="6"/>
        <v>13378.79</v>
      </c>
      <c r="AR62" s="37">
        <f t="shared" si="7"/>
        <v>3780.63</v>
      </c>
      <c r="AS62" s="37">
        <f t="shared" si="8"/>
        <v>25053.61</v>
      </c>
    </row>
    <row r="63" spans="1:45" x14ac:dyDescent="0.25">
      <c r="A63" s="26" t="s">
        <v>212</v>
      </c>
      <c r="B63" t="s">
        <v>213</v>
      </c>
      <c r="C63" s="25">
        <v>0</v>
      </c>
      <c r="D63" s="25">
        <v>0</v>
      </c>
      <c r="E63" s="25">
        <v>4.97</v>
      </c>
      <c r="F63" s="25">
        <v>0</v>
      </c>
      <c r="G63" s="25">
        <v>0</v>
      </c>
      <c r="H63" s="25">
        <v>0</v>
      </c>
      <c r="I63" s="25">
        <v>24.8</v>
      </c>
      <c r="J63" s="25">
        <v>10.029999999999999</v>
      </c>
      <c r="K63" s="25">
        <v>0</v>
      </c>
      <c r="L63" s="25">
        <v>0</v>
      </c>
      <c r="M63" s="25">
        <v>59.71</v>
      </c>
      <c r="N63" s="25">
        <v>49.84</v>
      </c>
      <c r="O63" s="25">
        <v>0</v>
      </c>
      <c r="P63" s="25">
        <v>0</v>
      </c>
      <c r="Q63" s="25">
        <v>44.78</v>
      </c>
      <c r="R63" s="25">
        <v>59.96</v>
      </c>
      <c r="S63" s="25">
        <v>9.9499999999999993</v>
      </c>
      <c r="T63" s="25">
        <v>14.84</v>
      </c>
      <c r="U63" s="25">
        <v>19.82</v>
      </c>
      <c r="V63" s="25">
        <v>59.87</v>
      </c>
      <c r="W63" s="25">
        <v>4.97</v>
      </c>
      <c r="X63" s="25">
        <v>14.92</v>
      </c>
      <c r="Y63" s="25">
        <v>34.409999999999997</v>
      </c>
      <c r="Z63" s="25">
        <v>0</v>
      </c>
      <c r="AA63" s="25">
        <v>0</v>
      </c>
      <c r="AB63" s="25">
        <v>0</v>
      </c>
      <c r="AC63" s="25">
        <v>86.07</v>
      </c>
      <c r="AD63" s="25">
        <v>60.37</v>
      </c>
      <c r="AE63" s="25">
        <v>5.0599999999999996</v>
      </c>
      <c r="AF63" s="25">
        <v>19.899999999999999</v>
      </c>
      <c r="AG63" s="25">
        <v>78.62</v>
      </c>
      <c r="AH63" s="25">
        <v>122.09</v>
      </c>
      <c r="AI63" s="25" t="s">
        <v>94</v>
      </c>
      <c r="AJ63" s="25" t="s">
        <v>89</v>
      </c>
      <c r="AK63" s="32">
        <f t="shared" si="0"/>
        <v>19.979999999999997</v>
      </c>
      <c r="AL63" s="32">
        <f t="shared" si="1"/>
        <v>49.66</v>
      </c>
      <c r="AM63" s="32">
        <f t="shared" si="2"/>
        <v>353.17999999999995</v>
      </c>
      <c r="AN63" s="32">
        <f t="shared" si="3"/>
        <v>362.16</v>
      </c>
      <c r="AO63" s="34">
        <f t="shared" si="4"/>
        <v>0.40233588401127662</v>
      </c>
      <c r="AP63" s="34">
        <f t="shared" si="5"/>
        <v>0.97520432957808678</v>
      </c>
      <c r="AQ63" s="33">
        <f t="shared" si="6"/>
        <v>412.87</v>
      </c>
      <c r="AR63" s="37">
        <f t="shared" si="7"/>
        <v>69.639999999999986</v>
      </c>
      <c r="AS63" s="37">
        <f t="shared" si="8"/>
        <v>715.33999999999992</v>
      </c>
    </row>
    <row r="64" spans="1:45" x14ac:dyDescent="0.25">
      <c r="A64" s="26" t="s">
        <v>214</v>
      </c>
      <c r="B64" t="s">
        <v>215</v>
      </c>
      <c r="C64" s="25">
        <v>0</v>
      </c>
      <c r="D64" s="25">
        <v>0</v>
      </c>
      <c r="E64" s="25">
        <v>0</v>
      </c>
      <c r="F64" s="25">
        <v>0</v>
      </c>
      <c r="G64" s="25">
        <v>27.8</v>
      </c>
      <c r="H64" s="25">
        <v>0</v>
      </c>
      <c r="I64" s="25">
        <v>106.58</v>
      </c>
      <c r="J64" s="25">
        <v>23.46</v>
      </c>
      <c r="K64" s="25">
        <v>23.17</v>
      </c>
      <c r="L64" s="25">
        <v>4.63</v>
      </c>
      <c r="M64" s="25">
        <v>217.8</v>
      </c>
      <c r="N64" s="25">
        <v>171.46</v>
      </c>
      <c r="O64" s="25">
        <v>50.97</v>
      </c>
      <c r="P64" s="25">
        <v>37.07</v>
      </c>
      <c r="Q64" s="25">
        <v>264.14</v>
      </c>
      <c r="R64" s="25">
        <v>366.09</v>
      </c>
      <c r="S64" s="25">
        <v>55.61</v>
      </c>
      <c r="T64" s="25">
        <v>166.82</v>
      </c>
      <c r="U64" s="25">
        <v>180.73</v>
      </c>
      <c r="V64" s="25">
        <v>463.4</v>
      </c>
      <c r="W64" s="25">
        <v>162.19</v>
      </c>
      <c r="X64" s="25">
        <v>27.8</v>
      </c>
      <c r="Y64" s="25">
        <v>305.83999999999997</v>
      </c>
      <c r="Z64" s="25">
        <v>37.07</v>
      </c>
      <c r="AA64" s="25">
        <v>50.97</v>
      </c>
      <c r="AB64" s="25">
        <v>51.26</v>
      </c>
      <c r="AC64" s="25">
        <v>389.75</v>
      </c>
      <c r="AD64" s="25">
        <v>475.45</v>
      </c>
      <c r="AE64" s="25">
        <v>60.24</v>
      </c>
      <c r="AF64" s="25">
        <v>190.28</v>
      </c>
      <c r="AG64" s="25">
        <v>936.44</v>
      </c>
      <c r="AH64" s="25">
        <v>1024.8499999999999</v>
      </c>
      <c r="AI64" s="25" t="s">
        <v>88</v>
      </c>
      <c r="AJ64" s="25" t="s">
        <v>89</v>
      </c>
      <c r="AK64" s="32">
        <f t="shared" si="0"/>
        <v>430.95000000000005</v>
      </c>
      <c r="AL64" s="32">
        <f t="shared" si="1"/>
        <v>477.86</v>
      </c>
      <c r="AM64" s="32">
        <f t="shared" si="2"/>
        <v>2401.2799999999997</v>
      </c>
      <c r="AN64" s="32">
        <f t="shared" si="3"/>
        <v>2561.7799999999997</v>
      </c>
      <c r="AO64" s="34">
        <f t="shared" si="4"/>
        <v>0.90183317289582732</v>
      </c>
      <c r="AP64" s="34">
        <f t="shared" si="5"/>
        <v>0.93734825004489064</v>
      </c>
      <c r="AQ64" s="33">
        <f t="shared" si="6"/>
        <v>2692.6300000000006</v>
      </c>
      <c r="AR64" s="37">
        <f t="shared" si="7"/>
        <v>908.81000000000006</v>
      </c>
      <c r="AS64" s="37">
        <f t="shared" si="8"/>
        <v>4963.0599999999995</v>
      </c>
    </row>
    <row r="65" spans="1:45" x14ac:dyDescent="0.25">
      <c r="A65" s="26" t="s">
        <v>216</v>
      </c>
      <c r="B65" t="s">
        <v>217</v>
      </c>
      <c r="C65" s="25">
        <v>0</v>
      </c>
      <c r="D65" s="25">
        <v>0</v>
      </c>
      <c r="E65" s="25">
        <v>0</v>
      </c>
      <c r="F65" s="25">
        <v>0</v>
      </c>
      <c r="G65" s="25">
        <v>81.81</v>
      </c>
      <c r="H65" s="25">
        <v>18.13</v>
      </c>
      <c r="I65" s="25">
        <v>57.21</v>
      </c>
      <c r="J65" s="25">
        <v>19.88</v>
      </c>
      <c r="K65" s="25">
        <v>66.2</v>
      </c>
      <c r="L65" s="25">
        <v>41.83</v>
      </c>
      <c r="M65" s="25">
        <v>319.06</v>
      </c>
      <c r="N65" s="25">
        <v>176.68</v>
      </c>
      <c r="O65" s="25">
        <v>175.62</v>
      </c>
      <c r="P65" s="25">
        <v>124.95</v>
      </c>
      <c r="Q65" s="25">
        <v>420.56</v>
      </c>
      <c r="R65" s="25">
        <v>534.30999999999995</v>
      </c>
      <c r="S65" s="25">
        <v>211.73</v>
      </c>
      <c r="T65" s="25">
        <v>670.04</v>
      </c>
      <c r="U65" s="25">
        <v>438.15</v>
      </c>
      <c r="V65" s="25">
        <v>998.01</v>
      </c>
      <c r="W65" s="25">
        <v>523.24</v>
      </c>
      <c r="X65" s="25">
        <v>156.18</v>
      </c>
      <c r="Y65" s="25">
        <v>512.89</v>
      </c>
      <c r="Z65" s="25">
        <v>105.4</v>
      </c>
      <c r="AA65" s="25">
        <v>214.35</v>
      </c>
      <c r="AB65" s="25">
        <v>160.75</v>
      </c>
      <c r="AC65" s="25">
        <v>454.05</v>
      </c>
      <c r="AD65" s="25">
        <v>698.45</v>
      </c>
      <c r="AE65" s="25">
        <v>287.61</v>
      </c>
      <c r="AF65" s="25">
        <v>607.66999999999996</v>
      </c>
      <c r="AG65" s="25">
        <v>2131.11</v>
      </c>
      <c r="AH65" s="25">
        <v>2235.5300000000002</v>
      </c>
      <c r="AI65" s="25" t="s">
        <v>88</v>
      </c>
      <c r="AJ65" s="25" t="s">
        <v>89</v>
      </c>
      <c r="AK65" s="32">
        <f t="shared" si="0"/>
        <v>1560.56</v>
      </c>
      <c r="AL65" s="32">
        <f t="shared" si="1"/>
        <v>1779.5499999999997</v>
      </c>
      <c r="AM65" s="32">
        <f t="shared" si="2"/>
        <v>4333.0300000000007</v>
      </c>
      <c r="AN65" s="32">
        <f t="shared" si="3"/>
        <v>4768.26</v>
      </c>
      <c r="AO65" s="34">
        <f t="shared" si="4"/>
        <v>0.87694079964035865</v>
      </c>
      <c r="AP65" s="34">
        <f t="shared" si="5"/>
        <v>0.90872351759341996</v>
      </c>
      <c r="AQ65" s="33">
        <f t="shared" si="6"/>
        <v>5651.88</v>
      </c>
      <c r="AR65" s="37">
        <f t="shared" si="7"/>
        <v>3340.1099999999997</v>
      </c>
      <c r="AS65" s="37">
        <f t="shared" si="8"/>
        <v>9101.2900000000009</v>
      </c>
    </row>
    <row r="66" spans="1:45" x14ac:dyDescent="0.25">
      <c r="A66" s="26" t="s">
        <v>218</v>
      </c>
      <c r="B66" t="s">
        <v>219</v>
      </c>
      <c r="C66" s="25">
        <v>0</v>
      </c>
      <c r="D66" s="25">
        <v>0</v>
      </c>
      <c r="E66" s="25">
        <v>0</v>
      </c>
      <c r="F66" s="25">
        <v>0</v>
      </c>
      <c r="G66" s="25">
        <v>28.05</v>
      </c>
      <c r="H66" s="25">
        <v>12.35</v>
      </c>
      <c r="I66" s="25">
        <v>107.34</v>
      </c>
      <c r="J66" s="25">
        <v>72.38</v>
      </c>
      <c r="K66" s="25">
        <v>69.08</v>
      </c>
      <c r="L66" s="25">
        <v>62.78</v>
      </c>
      <c r="M66" s="25">
        <v>836.74</v>
      </c>
      <c r="N66" s="25">
        <v>537.38</v>
      </c>
      <c r="O66" s="25">
        <v>101.62</v>
      </c>
      <c r="P66" s="25">
        <v>84.68</v>
      </c>
      <c r="Q66" s="25">
        <v>681.7</v>
      </c>
      <c r="R66" s="25">
        <v>912.96</v>
      </c>
      <c r="S66" s="25">
        <v>58.5</v>
      </c>
      <c r="T66" s="25">
        <v>181.48</v>
      </c>
      <c r="U66" s="25">
        <v>329.48</v>
      </c>
      <c r="V66" s="25">
        <v>731.44</v>
      </c>
      <c r="W66" s="25">
        <v>176.41</v>
      </c>
      <c r="X66" s="25">
        <v>32.99</v>
      </c>
      <c r="Y66" s="25">
        <v>452.04</v>
      </c>
      <c r="Z66" s="25">
        <v>74.11</v>
      </c>
      <c r="AA66" s="25">
        <v>109.74</v>
      </c>
      <c r="AB66" s="25">
        <v>93.66</v>
      </c>
      <c r="AC66" s="25">
        <v>797.56</v>
      </c>
      <c r="AD66" s="25">
        <v>1132.5999999999999</v>
      </c>
      <c r="AE66" s="25">
        <v>144.26</v>
      </c>
      <c r="AF66" s="25">
        <v>154.09</v>
      </c>
      <c r="AG66" s="25">
        <v>1626.86</v>
      </c>
      <c r="AH66" s="25">
        <v>1655.72</v>
      </c>
      <c r="AI66" s="25" t="s">
        <v>88</v>
      </c>
      <c r="AJ66" s="25" t="s">
        <v>89</v>
      </c>
      <c r="AK66" s="32">
        <f t="shared" si="0"/>
        <v>687.66</v>
      </c>
      <c r="AL66" s="32">
        <f t="shared" si="1"/>
        <v>622.03</v>
      </c>
      <c r="AM66" s="32">
        <f t="shared" si="2"/>
        <v>4831.72</v>
      </c>
      <c r="AN66" s="32">
        <f t="shared" si="3"/>
        <v>5116.59</v>
      </c>
      <c r="AO66" s="34">
        <f t="shared" si="4"/>
        <v>1.1055093805764995</v>
      </c>
      <c r="AP66" s="34">
        <f t="shared" si="5"/>
        <v>0.944324247203704</v>
      </c>
      <c r="AQ66" s="33">
        <f t="shared" si="6"/>
        <v>5543.5099999999993</v>
      </c>
      <c r="AR66" s="37">
        <f t="shared" si="7"/>
        <v>1309.69</v>
      </c>
      <c r="AS66" s="37">
        <f t="shared" si="8"/>
        <v>9948.3100000000013</v>
      </c>
    </row>
    <row r="67" spans="1:45" x14ac:dyDescent="0.25">
      <c r="A67" s="26" t="s">
        <v>220</v>
      </c>
      <c r="B67" t="s">
        <v>221</v>
      </c>
      <c r="C67" s="25">
        <v>0</v>
      </c>
      <c r="D67" s="25">
        <v>3.14</v>
      </c>
      <c r="E67" s="25">
        <v>43.09</v>
      </c>
      <c r="F67" s="25">
        <v>6.14</v>
      </c>
      <c r="G67" s="25">
        <v>104.11</v>
      </c>
      <c r="H67" s="25">
        <v>25.89</v>
      </c>
      <c r="I67" s="25">
        <v>202</v>
      </c>
      <c r="J67" s="25">
        <v>108.1</v>
      </c>
      <c r="K67" s="25">
        <v>174.21</v>
      </c>
      <c r="L67" s="25">
        <v>63.8</v>
      </c>
      <c r="M67" s="25">
        <v>592.03</v>
      </c>
      <c r="N67" s="25">
        <v>427.27</v>
      </c>
      <c r="O67" s="25">
        <v>269.17</v>
      </c>
      <c r="P67" s="25">
        <v>159.30000000000001</v>
      </c>
      <c r="Q67" s="25">
        <v>1176.3699999999999</v>
      </c>
      <c r="R67" s="25">
        <v>1223.3599999999999</v>
      </c>
      <c r="S67" s="25">
        <v>227.95</v>
      </c>
      <c r="T67" s="25">
        <v>760.59</v>
      </c>
      <c r="U67" s="25">
        <v>950.18</v>
      </c>
      <c r="V67" s="25">
        <v>2418.56</v>
      </c>
      <c r="W67" s="25">
        <v>941.5</v>
      </c>
      <c r="X67" s="25">
        <v>219.14</v>
      </c>
      <c r="Y67" s="25">
        <v>1554.97</v>
      </c>
      <c r="Z67" s="25">
        <v>316</v>
      </c>
      <c r="AA67" s="25">
        <v>259.35000000000002</v>
      </c>
      <c r="AB67" s="25">
        <v>183.53</v>
      </c>
      <c r="AC67" s="25">
        <v>1387.7</v>
      </c>
      <c r="AD67" s="25">
        <v>2020.24</v>
      </c>
      <c r="AE67" s="25">
        <v>428.36</v>
      </c>
      <c r="AF67" s="25">
        <v>883.24</v>
      </c>
      <c r="AG67" s="25">
        <v>3788.05</v>
      </c>
      <c r="AH67" s="25">
        <v>4152.16</v>
      </c>
      <c r="AI67" s="25" t="s">
        <v>88</v>
      </c>
      <c r="AJ67" s="25" t="s">
        <v>89</v>
      </c>
      <c r="AK67" s="32">
        <f t="shared" ref="AK67:AK130" si="9">C67+G67+K67+O67+S67+W67+AA67+AE67</f>
        <v>2404.65</v>
      </c>
      <c r="AL67" s="32">
        <f t="shared" ref="AL67:AL130" si="10">D67+H67+L67+P67+T67+X67+AB67+AF67</f>
        <v>2298.63</v>
      </c>
      <c r="AM67" s="32">
        <f t="shared" ref="AM67:AM130" si="11">E67+I67+M67+Q67+U67+Y67+AC67+AG67</f>
        <v>9694.39</v>
      </c>
      <c r="AN67" s="32">
        <f t="shared" ref="AN67:AN130" si="12">F67+J67+N67+R67+V67+Z67+AD67+AH67</f>
        <v>10671.83</v>
      </c>
      <c r="AO67" s="34">
        <f t="shared" ref="AO67:AO130" si="13">IFERROR(AK67/AL67,0)</f>
        <v>1.046123125513893</v>
      </c>
      <c r="AP67" s="34">
        <f t="shared" ref="AP67:AP130" si="14">IFERROR(AM67/AN67,0)</f>
        <v>0.90840933560598314</v>
      </c>
      <c r="AQ67" s="33">
        <f t="shared" ref="AQ67:AQ130" si="15">SUM(C67:Z67)</f>
        <v>11966.869999999999</v>
      </c>
      <c r="AR67" s="37">
        <f t="shared" ref="AR67:AR130" si="16">AK67+AL67</f>
        <v>4703.2800000000007</v>
      </c>
      <c r="AS67" s="37">
        <f t="shared" ref="AS67:AS130" si="17">AM67+AN67</f>
        <v>20366.22</v>
      </c>
    </row>
    <row r="68" spans="1:45" x14ac:dyDescent="0.25">
      <c r="A68" s="26" t="s">
        <v>222</v>
      </c>
      <c r="B68" t="s">
        <v>223</v>
      </c>
      <c r="C68" s="25">
        <v>0</v>
      </c>
      <c r="D68" s="25">
        <v>0</v>
      </c>
      <c r="E68" s="25">
        <v>0</v>
      </c>
      <c r="F68" s="25">
        <v>4.99</v>
      </c>
      <c r="G68" s="25">
        <v>4.99</v>
      </c>
      <c r="H68" s="25">
        <v>9.99</v>
      </c>
      <c r="I68" s="25">
        <v>114.84</v>
      </c>
      <c r="J68" s="25">
        <v>24.96</v>
      </c>
      <c r="K68" s="25">
        <v>9.99</v>
      </c>
      <c r="L68" s="25">
        <v>29.96</v>
      </c>
      <c r="M68" s="25">
        <v>299.79000000000002</v>
      </c>
      <c r="N68" s="25">
        <v>189.73</v>
      </c>
      <c r="O68" s="25">
        <v>9.99</v>
      </c>
      <c r="P68" s="25">
        <v>29.96</v>
      </c>
      <c r="Q68" s="25">
        <v>219.69</v>
      </c>
      <c r="R68" s="25">
        <v>244.66</v>
      </c>
      <c r="S68" s="25">
        <v>4.99</v>
      </c>
      <c r="T68" s="25">
        <v>24.96</v>
      </c>
      <c r="U68" s="25">
        <v>40.07</v>
      </c>
      <c r="V68" s="25">
        <v>179.75</v>
      </c>
      <c r="W68" s="25">
        <v>39.94</v>
      </c>
      <c r="X68" s="25">
        <v>14.98</v>
      </c>
      <c r="Y68" s="25">
        <v>34.950000000000003</v>
      </c>
      <c r="Z68" s="25">
        <v>4.99</v>
      </c>
      <c r="AA68" s="25">
        <v>4.99</v>
      </c>
      <c r="AB68" s="25">
        <v>34.950000000000003</v>
      </c>
      <c r="AC68" s="25">
        <v>309.56</v>
      </c>
      <c r="AD68" s="25">
        <v>349.51</v>
      </c>
      <c r="AE68" s="25">
        <v>4.99</v>
      </c>
      <c r="AF68" s="25">
        <v>14.98</v>
      </c>
      <c r="AG68" s="25">
        <v>389.45</v>
      </c>
      <c r="AH68" s="25">
        <v>504.42</v>
      </c>
      <c r="AI68" s="25" t="s">
        <v>88</v>
      </c>
      <c r="AJ68" s="25" t="s">
        <v>89</v>
      </c>
      <c r="AK68" s="32">
        <f t="shared" si="9"/>
        <v>79.88</v>
      </c>
      <c r="AL68" s="32">
        <f t="shared" si="10"/>
        <v>159.78</v>
      </c>
      <c r="AM68" s="32">
        <f t="shared" si="11"/>
        <v>1408.3500000000001</v>
      </c>
      <c r="AN68" s="32">
        <f t="shared" si="12"/>
        <v>1503.01</v>
      </c>
      <c r="AO68" s="34">
        <f t="shared" si="13"/>
        <v>0.49993741394417318</v>
      </c>
      <c r="AP68" s="34">
        <f t="shared" si="14"/>
        <v>0.93701971377435955</v>
      </c>
      <c r="AQ68" s="33">
        <f t="shared" si="15"/>
        <v>1538.1700000000003</v>
      </c>
      <c r="AR68" s="37">
        <f t="shared" si="16"/>
        <v>239.66</v>
      </c>
      <c r="AS68" s="37">
        <f t="shared" si="17"/>
        <v>2911.36</v>
      </c>
    </row>
    <row r="69" spans="1:45" x14ac:dyDescent="0.25">
      <c r="A69" s="26" t="s">
        <v>224</v>
      </c>
      <c r="B69" t="s">
        <v>225</v>
      </c>
      <c r="C69" s="25">
        <v>0</v>
      </c>
      <c r="D69" s="25">
        <v>0</v>
      </c>
      <c r="E69" s="25">
        <v>10</v>
      </c>
      <c r="F69" s="25">
        <v>10</v>
      </c>
      <c r="G69" s="25">
        <v>20</v>
      </c>
      <c r="H69" s="25">
        <v>15</v>
      </c>
      <c r="I69" s="25">
        <v>85</v>
      </c>
      <c r="J69" s="25">
        <v>25</v>
      </c>
      <c r="K69" s="25">
        <v>40</v>
      </c>
      <c r="L69" s="25">
        <v>30</v>
      </c>
      <c r="M69" s="25">
        <v>325</v>
      </c>
      <c r="N69" s="25">
        <v>250</v>
      </c>
      <c r="O69" s="25">
        <v>20</v>
      </c>
      <c r="P69" s="25">
        <v>20</v>
      </c>
      <c r="Q69" s="25">
        <v>435</v>
      </c>
      <c r="R69" s="25">
        <v>550</v>
      </c>
      <c r="S69" s="25">
        <v>30</v>
      </c>
      <c r="T69" s="25">
        <v>85</v>
      </c>
      <c r="U69" s="25">
        <v>255</v>
      </c>
      <c r="V69" s="25">
        <v>505</v>
      </c>
      <c r="W69" s="25">
        <v>60</v>
      </c>
      <c r="X69" s="25">
        <v>20</v>
      </c>
      <c r="Y69" s="25">
        <v>290</v>
      </c>
      <c r="Z69" s="25">
        <v>50</v>
      </c>
      <c r="AA69" s="25">
        <v>50</v>
      </c>
      <c r="AB69" s="25">
        <v>45</v>
      </c>
      <c r="AC69" s="25">
        <v>715</v>
      </c>
      <c r="AD69" s="25">
        <v>935</v>
      </c>
      <c r="AE69" s="25">
        <v>40</v>
      </c>
      <c r="AF69" s="25">
        <v>70</v>
      </c>
      <c r="AG69" s="25">
        <v>755</v>
      </c>
      <c r="AH69" s="25">
        <v>815</v>
      </c>
      <c r="AI69" s="25" t="s">
        <v>94</v>
      </c>
      <c r="AJ69" s="25" t="s">
        <v>89</v>
      </c>
      <c r="AK69" s="32">
        <f t="shared" si="9"/>
        <v>260</v>
      </c>
      <c r="AL69" s="32">
        <f t="shared" si="10"/>
        <v>285</v>
      </c>
      <c r="AM69" s="32">
        <f t="shared" si="11"/>
        <v>2870</v>
      </c>
      <c r="AN69" s="32">
        <f t="shared" si="12"/>
        <v>3140</v>
      </c>
      <c r="AO69" s="34">
        <f t="shared" si="13"/>
        <v>0.91228070175438591</v>
      </c>
      <c r="AP69" s="34">
        <f t="shared" si="14"/>
        <v>0.9140127388535032</v>
      </c>
      <c r="AQ69" s="33">
        <f t="shared" si="15"/>
        <v>3130</v>
      </c>
      <c r="AR69" s="37">
        <f t="shared" si="16"/>
        <v>545</v>
      </c>
      <c r="AS69" s="37">
        <f t="shared" si="17"/>
        <v>6010</v>
      </c>
    </row>
    <row r="70" spans="1:45" x14ac:dyDescent="0.25">
      <c r="A70" s="26" t="s">
        <v>226</v>
      </c>
      <c r="B70" t="s">
        <v>227</v>
      </c>
      <c r="C70" s="25">
        <v>0</v>
      </c>
      <c r="D70" s="25">
        <v>0</v>
      </c>
      <c r="E70" s="25">
        <v>0</v>
      </c>
      <c r="F70" s="25">
        <v>2.52</v>
      </c>
      <c r="G70" s="25">
        <v>474.14</v>
      </c>
      <c r="H70" s="25">
        <v>97.9</v>
      </c>
      <c r="I70" s="25">
        <v>376.81</v>
      </c>
      <c r="J70" s="25">
        <v>145.38999999999999</v>
      </c>
      <c r="K70" s="25">
        <v>899.57</v>
      </c>
      <c r="L70" s="25">
        <v>407.26</v>
      </c>
      <c r="M70" s="25">
        <v>1917.02</v>
      </c>
      <c r="N70" s="25">
        <v>1301.1400000000001</v>
      </c>
      <c r="O70" s="25">
        <v>1105.53</v>
      </c>
      <c r="P70" s="25">
        <v>906.84</v>
      </c>
      <c r="Q70" s="25">
        <v>2906.22</v>
      </c>
      <c r="R70" s="25">
        <v>3479.05</v>
      </c>
      <c r="S70" s="25">
        <v>1054.23</v>
      </c>
      <c r="T70" s="25">
        <v>2799.18</v>
      </c>
      <c r="U70" s="25">
        <v>2138.84</v>
      </c>
      <c r="V70" s="25">
        <v>4734.5200000000004</v>
      </c>
      <c r="W70" s="25">
        <v>2501.4699999999998</v>
      </c>
      <c r="X70" s="25">
        <v>676.76</v>
      </c>
      <c r="Y70" s="25">
        <v>2811.27</v>
      </c>
      <c r="Z70" s="25">
        <v>586.80999999999995</v>
      </c>
      <c r="AA70" s="25">
        <v>950.58</v>
      </c>
      <c r="AB70" s="25">
        <v>744.14</v>
      </c>
      <c r="AC70" s="25">
        <v>2236.44</v>
      </c>
      <c r="AD70" s="25">
        <v>3083.49</v>
      </c>
      <c r="AE70" s="25">
        <v>1622.47</v>
      </c>
      <c r="AF70" s="25">
        <v>3431.07</v>
      </c>
      <c r="AG70" s="25">
        <v>12189.5</v>
      </c>
      <c r="AH70" s="25">
        <v>12387.41</v>
      </c>
      <c r="AI70" s="25" t="s">
        <v>88</v>
      </c>
      <c r="AJ70" s="25" t="s">
        <v>89</v>
      </c>
      <c r="AK70" s="32">
        <f t="shared" si="9"/>
        <v>8607.99</v>
      </c>
      <c r="AL70" s="32">
        <f t="shared" si="10"/>
        <v>9063.1500000000015</v>
      </c>
      <c r="AM70" s="32">
        <f t="shared" si="11"/>
        <v>24576.1</v>
      </c>
      <c r="AN70" s="32">
        <f t="shared" si="12"/>
        <v>25720.33</v>
      </c>
      <c r="AO70" s="34">
        <f t="shared" si="13"/>
        <v>0.94977905033018306</v>
      </c>
      <c r="AP70" s="34">
        <f t="shared" si="14"/>
        <v>0.95551262367162459</v>
      </c>
      <c r="AQ70" s="33">
        <f t="shared" si="15"/>
        <v>31322.47</v>
      </c>
      <c r="AR70" s="37">
        <f t="shared" si="16"/>
        <v>17671.14</v>
      </c>
      <c r="AS70" s="37">
        <f t="shared" si="17"/>
        <v>50296.43</v>
      </c>
    </row>
    <row r="71" spans="1:45" x14ac:dyDescent="0.25">
      <c r="A71" s="26" t="s">
        <v>228</v>
      </c>
      <c r="B71" t="s">
        <v>229</v>
      </c>
      <c r="C71" s="25">
        <v>0</v>
      </c>
      <c r="D71" s="25">
        <v>0</v>
      </c>
      <c r="E71" s="25">
        <v>5.2</v>
      </c>
      <c r="F71" s="25">
        <v>0</v>
      </c>
      <c r="G71" s="25">
        <v>25.98</v>
      </c>
      <c r="H71" s="25">
        <v>0</v>
      </c>
      <c r="I71" s="25">
        <v>72.73</v>
      </c>
      <c r="J71" s="25">
        <v>36.369999999999997</v>
      </c>
      <c r="K71" s="25">
        <v>0</v>
      </c>
      <c r="L71" s="25">
        <v>10.39</v>
      </c>
      <c r="M71" s="25">
        <v>181.83</v>
      </c>
      <c r="N71" s="25">
        <v>166.24</v>
      </c>
      <c r="O71" s="25">
        <v>25.98</v>
      </c>
      <c r="P71" s="25">
        <v>20.78</v>
      </c>
      <c r="Q71" s="25">
        <v>213</v>
      </c>
      <c r="R71" s="25">
        <v>374.05</v>
      </c>
      <c r="S71" s="25">
        <v>5.2</v>
      </c>
      <c r="T71" s="25">
        <v>36.369999999999997</v>
      </c>
      <c r="U71" s="25">
        <v>114.29</v>
      </c>
      <c r="V71" s="25">
        <v>342.88</v>
      </c>
      <c r="W71" s="25">
        <v>57.15</v>
      </c>
      <c r="X71" s="25">
        <v>5.2</v>
      </c>
      <c r="Y71" s="25">
        <v>213</v>
      </c>
      <c r="Z71" s="25">
        <v>51.95</v>
      </c>
      <c r="AA71" s="25">
        <v>10.39</v>
      </c>
      <c r="AB71" s="25">
        <v>0</v>
      </c>
      <c r="AC71" s="25">
        <v>326.62</v>
      </c>
      <c r="AD71" s="25">
        <v>373.15</v>
      </c>
      <c r="AE71" s="25">
        <v>36.369999999999997</v>
      </c>
      <c r="AF71" s="25">
        <v>31.06</v>
      </c>
      <c r="AG71" s="25">
        <v>571.46</v>
      </c>
      <c r="AH71" s="25">
        <v>472.64</v>
      </c>
      <c r="AI71" s="25" t="s">
        <v>94</v>
      </c>
      <c r="AJ71" s="25" t="s">
        <v>89</v>
      </c>
      <c r="AK71" s="32">
        <f t="shared" si="9"/>
        <v>161.07</v>
      </c>
      <c r="AL71" s="32">
        <f t="shared" si="10"/>
        <v>103.8</v>
      </c>
      <c r="AM71" s="32">
        <f t="shared" si="11"/>
        <v>1698.13</v>
      </c>
      <c r="AN71" s="32">
        <f t="shared" si="12"/>
        <v>1817.2800000000002</v>
      </c>
      <c r="AO71" s="34">
        <f t="shared" si="13"/>
        <v>1.5517341040462427</v>
      </c>
      <c r="AP71" s="34">
        <f t="shared" si="14"/>
        <v>0.93443497974995593</v>
      </c>
      <c r="AQ71" s="33">
        <f t="shared" si="15"/>
        <v>1958.5900000000001</v>
      </c>
      <c r="AR71" s="37">
        <f t="shared" si="16"/>
        <v>264.87</v>
      </c>
      <c r="AS71" s="37">
        <f t="shared" si="17"/>
        <v>3515.4100000000003</v>
      </c>
    </row>
    <row r="72" spans="1:45" x14ac:dyDescent="0.25">
      <c r="A72" s="26" t="s">
        <v>230</v>
      </c>
      <c r="B72" t="s">
        <v>231</v>
      </c>
      <c r="C72" s="25">
        <v>0</v>
      </c>
      <c r="D72" s="25">
        <v>0</v>
      </c>
      <c r="E72" s="25">
        <v>0</v>
      </c>
      <c r="F72" s="25">
        <v>0</v>
      </c>
      <c r="G72" s="25">
        <v>13.61</v>
      </c>
      <c r="H72" s="25">
        <v>0</v>
      </c>
      <c r="I72" s="25">
        <v>36.28</v>
      </c>
      <c r="J72" s="25">
        <v>18.14</v>
      </c>
      <c r="K72" s="25">
        <v>40.82</v>
      </c>
      <c r="L72" s="25">
        <v>13.61</v>
      </c>
      <c r="M72" s="25">
        <v>104.31</v>
      </c>
      <c r="N72" s="25">
        <v>103.49</v>
      </c>
      <c r="O72" s="25">
        <v>69.16</v>
      </c>
      <c r="P72" s="25">
        <v>99.78</v>
      </c>
      <c r="Q72" s="25">
        <v>324.89999999999998</v>
      </c>
      <c r="R72" s="25">
        <v>408.49</v>
      </c>
      <c r="S72" s="25">
        <v>126.99</v>
      </c>
      <c r="T72" s="25">
        <v>285.3</v>
      </c>
      <c r="U72" s="25">
        <v>740.47</v>
      </c>
      <c r="V72" s="25">
        <v>1109.8900000000001</v>
      </c>
      <c r="W72" s="25">
        <v>263.05</v>
      </c>
      <c r="X72" s="25">
        <v>68.03</v>
      </c>
      <c r="Y72" s="25">
        <v>506.82</v>
      </c>
      <c r="Z72" s="25">
        <v>104.44</v>
      </c>
      <c r="AA72" s="25">
        <v>81.64</v>
      </c>
      <c r="AB72" s="25">
        <v>31.75</v>
      </c>
      <c r="AC72" s="25">
        <v>213.35</v>
      </c>
      <c r="AD72" s="25">
        <v>197.34</v>
      </c>
      <c r="AE72" s="25">
        <v>1705.2</v>
      </c>
      <c r="AF72" s="25">
        <v>434.21</v>
      </c>
      <c r="AG72" s="25">
        <v>4197.1400000000003</v>
      </c>
      <c r="AH72" s="25">
        <v>1350.6</v>
      </c>
      <c r="AI72" s="25" t="s">
        <v>88</v>
      </c>
      <c r="AJ72" s="25" t="s">
        <v>89</v>
      </c>
      <c r="AK72" s="32">
        <f t="shared" si="9"/>
        <v>2300.4700000000003</v>
      </c>
      <c r="AL72" s="32">
        <f t="shared" si="10"/>
        <v>932.68000000000006</v>
      </c>
      <c r="AM72" s="32">
        <f t="shared" si="11"/>
        <v>6123.27</v>
      </c>
      <c r="AN72" s="32">
        <f t="shared" si="12"/>
        <v>3292.3900000000003</v>
      </c>
      <c r="AO72" s="34">
        <f t="shared" si="13"/>
        <v>2.4665158468070509</v>
      </c>
      <c r="AP72" s="34">
        <f t="shared" si="14"/>
        <v>1.8598252333411291</v>
      </c>
      <c r="AQ72" s="33">
        <f t="shared" si="15"/>
        <v>4437.58</v>
      </c>
      <c r="AR72" s="37">
        <f t="shared" si="16"/>
        <v>3233.1500000000005</v>
      </c>
      <c r="AS72" s="37">
        <f t="shared" si="17"/>
        <v>9415.66</v>
      </c>
    </row>
    <row r="73" spans="1:45" x14ac:dyDescent="0.25">
      <c r="A73" s="26" t="s">
        <v>232</v>
      </c>
      <c r="B73" t="s">
        <v>233</v>
      </c>
      <c r="C73" s="25">
        <v>0</v>
      </c>
      <c r="D73" s="25">
        <v>0</v>
      </c>
      <c r="E73" s="25">
        <v>5.48</v>
      </c>
      <c r="F73" s="25">
        <v>0</v>
      </c>
      <c r="G73" s="25">
        <v>0</v>
      </c>
      <c r="H73" s="25">
        <v>0</v>
      </c>
      <c r="I73" s="25">
        <v>0</v>
      </c>
      <c r="J73" s="25">
        <v>0</v>
      </c>
      <c r="K73" s="25">
        <v>0</v>
      </c>
      <c r="L73" s="25">
        <v>0</v>
      </c>
      <c r="M73" s="25">
        <v>5.48</v>
      </c>
      <c r="N73" s="25">
        <v>5.48</v>
      </c>
      <c r="O73" s="25">
        <v>5.48</v>
      </c>
      <c r="P73" s="25">
        <v>0</v>
      </c>
      <c r="Q73" s="25">
        <v>0</v>
      </c>
      <c r="R73" s="25">
        <v>27.38</v>
      </c>
      <c r="S73" s="25">
        <v>0</v>
      </c>
      <c r="T73" s="25">
        <v>0</v>
      </c>
      <c r="U73" s="25">
        <v>16.43</v>
      </c>
      <c r="V73" s="25">
        <v>32.86</v>
      </c>
      <c r="W73" s="25">
        <v>0</v>
      </c>
      <c r="X73" s="25">
        <v>0</v>
      </c>
      <c r="Y73" s="25">
        <v>10.95</v>
      </c>
      <c r="Z73" s="25">
        <v>0</v>
      </c>
      <c r="AA73" s="25">
        <v>0</v>
      </c>
      <c r="AB73" s="25">
        <v>5.48</v>
      </c>
      <c r="AC73" s="25">
        <v>27.38</v>
      </c>
      <c r="AD73" s="25">
        <v>38.33</v>
      </c>
      <c r="AE73" s="25">
        <v>0</v>
      </c>
      <c r="AF73" s="25">
        <v>0</v>
      </c>
      <c r="AG73" s="25">
        <v>10.95</v>
      </c>
      <c r="AH73" s="25">
        <v>16.43</v>
      </c>
      <c r="AI73" s="25" t="s">
        <v>88</v>
      </c>
      <c r="AJ73" s="25" t="s">
        <v>89</v>
      </c>
      <c r="AK73" s="32">
        <f t="shared" si="9"/>
        <v>5.48</v>
      </c>
      <c r="AL73" s="32">
        <f t="shared" si="10"/>
        <v>5.48</v>
      </c>
      <c r="AM73" s="32">
        <f t="shared" si="11"/>
        <v>76.67</v>
      </c>
      <c r="AN73" s="32">
        <f t="shared" si="12"/>
        <v>120.47999999999999</v>
      </c>
      <c r="AO73" s="34">
        <f t="shared" si="13"/>
        <v>1</v>
      </c>
      <c r="AP73" s="34">
        <f t="shared" si="14"/>
        <v>0.63637118193891107</v>
      </c>
      <c r="AQ73" s="33">
        <f t="shared" si="15"/>
        <v>109.53999999999999</v>
      </c>
      <c r="AR73" s="37">
        <f t="shared" si="16"/>
        <v>10.96</v>
      </c>
      <c r="AS73" s="37">
        <f t="shared" si="17"/>
        <v>197.14999999999998</v>
      </c>
    </row>
    <row r="74" spans="1:45" x14ac:dyDescent="0.25">
      <c r="A74" s="26" t="s">
        <v>234</v>
      </c>
      <c r="B74" t="s">
        <v>235</v>
      </c>
      <c r="C74" s="25">
        <v>0</v>
      </c>
      <c r="D74" s="25">
        <v>0</v>
      </c>
      <c r="F74" s="25">
        <v>0</v>
      </c>
      <c r="G74" s="25">
        <v>5.44</v>
      </c>
      <c r="H74" s="25">
        <v>0</v>
      </c>
      <c r="I74" s="25">
        <v>58.55</v>
      </c>
      <c r="J74" s="25">
        <v>0</v>
      </c>
      <c r="K74" s="25">
        <v>15.65</v>
      </c>
      <c r="L74" s="25">
        <v>10.63</v>
      </c>
      <c r="M74" s="25">
        <v>154.11000000000001</v>
      </c>
      <c r="N74" s="25">
        <v>101.08</v>
      </c>
      <c r="O74" s="25">
        <v>10.73</v>
      </c>
      <c r="P74" s="25">
        <v>16.07</v>
      </c>
      <c r="Q74" s="25">
        <v>165.2</v>
      </c>
      <c r="R74" s="25">
        <v>218.89</v>
      </c>
      <c r="S74" s="25">
        <v>5.0199999999999996</v>
      </c>
      <c r="T74" s="25">
        <v>36.82</v>
      </c>
      <c r="U74" s="25">
        <v>42.4</v>
      </c>
      <c r="V74" s="25">
        <v>160.01</v>
      </c>
      <c r="W74" s="25">
        <v>10.49</v>
      </c>
      <c r="X74" s="25">
        <v>5.15</v>
      </c>
      <c r="Y74" s="25">
        <v>74.19</v>
      </c>
      <c r="Z74" s="25">
        <v>5.34</v>
      </c>
      <c r="AA74" s="25">
        <v>21.5</v>
      </c>
      <c r="AB74" s="25">
        <v>21.65</v>
      </c>
      <c r="AC74" s="25">
        <v>140.02000000000001</v>
      </c>
      <c r="AD74" s="25">
        <v>129.54</v>
      </c>
      <c r="AE74" s="25">
        <v>15.92</v>
      </c>
      <c r="AF74" s="25">
        <v>5.39</v>
      </c>
      <c r="AG74" s="25">
        <v>337.31</v>
      </c>
      <c r="AH74" s="25">
        <v>394.61</v>
      </c>
      <c r="AI74" s="25" t="s">
        <v>94</v>
      </c>
      <c r="AJ74" s="25" t="s">
        <v>89</v>
      </c>
      <c r="AK74" s="32">
        <f t="shared" si="9"/>
        <v>84.750000000000014</v>
      </c>
      <c r="AL74" s="32">
        <f t="shared" si="10"/>
        <v>95.71</v>
      </c>
      <c r="AM74" s="32">
        <f t="shared" si="11"/>
        <v>971.78</v>
      </c>
      <c r="AN74" s="32">
        <f t="shared" si="12"/>
        <v>1009.4699999999999</v>
      </c>
      <c r="AO74" s="34">
        <f t="shared" si="13"/>
        <v>0.88548740988402486</v>
      </c>
      <c r="AP74" s="34">
        <f t="shared" si="14"/>
        <v>0.96266357593588725</v>
      </c>
      <c r="AQ74" s="33">
        <f t="shared" si="15"/>
        <v>1095.77</v>
      </c>
      <c r="AR74" s="37">
        <f t="shared" si="16"/>
        <v>180.46</v>
      </c>
      <c r="AS74" s="37">
        <f t="shared" si="17"/>
        <v>1981.25</v>
      </c>
    </row>
    <row r="75" spans="1:45" x14ac:dyDescent="0.25">
      <c r="A75" s="26" t="s">
        <v>236</v>
      </c>
      <c r="B75" t="s">
        <v>237</v>
      </c>
      <c r="C75" s="25">
        <v>0</v>
      </c>
      <c r="D75" s="25">
        <v>0</v>
      </c>
      <c r="E75" s="25">
        <v>0</v>
      </c>
      <c r="F75" s="25">
        <v>0</v>
      </c>
      <c r="G75" s="25">
        <v>12.63</v>
      </c>
      <c r="H75" s="25">
        <v>0</v>
      </c>
      <c r="I75" s="25">
        <v>43.15</v>
      </c>
      <c r="J75" s="25">
        <v>25.95</v>
      </c>
      <c r="K75" s="25">
        <v>6.32</v>
      </c>
      <c r="L75" s="25">
        <v>0</v>
      </c>
      <c r="M75" s="25">
        <v>76.58</v>
      </c>
      <c r="N75" s="25">
        <v>63.59</v>
      </c>
      <c r="O75" s="25">
        <v>0</v>
      </c>
      <c r="P75" s="25">
        <v>19.04</v>
      </c>
      <c r="Q75" s="25">
        <v>127.03</v>
      </c>
      <c r="R75" s="25">
        <v>178.17</v>
      </c>
      <c r="S75" s="25">
        <v>0</v>
      </c>
      <c r="T75" s="25">
        <v>12.97</v>
      </c>
      <c r="U75" s="25">
        <v>57.28</v>
      </c>
      <c r="V75" s="25">
        <v>74.91</v>
      </c>
      <c r="W75" s="25">
        <v>12.72</v>
      </c>
      <c r="X75" s="25">
        <v>0</v>
      </c>
      <c r="Y75" s="25">
        <v>69.58</v>
      </c>
      <c r="Z75" s="25">
        <v>25.44</v>
      </c>
      <c r="AA75" s="25">
        <v>6.49</v>
      </c>
      <c r="AB75" s="25">
        <v>6.57</v>
      </c>
      <c r="AC75" s="25">
        <v>109.94</v>
      </c>
      <c r="AD75" s="25">
        <v>149.22</v>
      </c>
      <c r="AE75" s="25">
        <v>12.55</v>
      </c>
      <c r="AF75" s="25">
        <v>12.63</v>
      </c>
      <c r="AG75" s="25">
        <v>251.55</v>
      </c>
      <c r="AH75" s="25">
        <v>175.74</v>
      </c>
      <c r="AI75" s="25" t="s">
        <v>94</v>
      </c>
      <c r="AJ75" s="25" t="s">
        <v>89</v>
      </c>
      <c r="AK75" s="32">
        <f t="shared" si="9"/>
        <v>50.710000000000008</v>
      </c>
      <c r="AL75" s="32">
        <f t="shared" si="10"/>
        <v>51.21</v>
      </c>
      <c r="AM75" s="32">
        <f t="shared" si="11"/>
        <v>735.1099999999999</v>
      </c>
      <c r="AN75" s="32">
        <f t="shared" si="12"/>
        <v>693.02</v>
      </c>
      <c r="AO75" s="34">
        <f t="shared" si="13"/>
        <v>0.99023628197617664</v>
      </c>
      <c r="AP75" s="34">
        <f t="shared" si="14"/>
        <v>1.0607341779458024</v>
      </c>
      <c r="AQ75" s="33">
        <f t="shared" si="15"/>
        <v>805.36</v>
      </c>
      <c r="AR75" s="37">
        <f t="shared" si="16"/>
        <v>101.92000000000002</v>
      </c>
      <c r="AS75" s="37">
        <f t="shared" si="17"/>
        <v>1428.1299999999999</v>
      </c>
    </row>
    <row r="76" spans="1:45" x14ac:dyDescent="0.25">
      <c r="A76" s="26" t="s">
        <v>238</v>
      </c>
      <c r="B76" t="s">
        <v>239</v>
      </c>
      <c r="C76" s="25">
        <v>0</v>
      </c>
      <c r="D76" s="25">
        <v>0</v>
      </c>
      <c r="E76" s="25">
        <v>0</v>
      </c>
      <c r="F76" s="25">
        <v>0</v>
      </c>
      <c r="G76" s="25">
        <v>0</v>
      </c>
      <c r="H76" s="25">
        <v>0</v>
      </c>
      <c r="I76" s="25">
        <v>5.08</v>
      </c>
      <c r="J76" s="25">
        <v>0</v>
      </c>
      <c r="K76" s="25">
        <v>0</v>
      </c>
      <c r="L76" s="25">
        <v>0</v>
      </c>
      <c r="M76" s="25">
        <v>35.07</v>
      </c>
      <c r="N76" s="25">
        <v>15.07</v>
      </c>
      <c r="O76" s="25">
        <v>0</v>
      </c>
      <c r="P76" s="25">
        <v>4.99</v>
      </c>
      <c r="Q76" s="25">
        <v>50</v>
      </c>
      <c r="R76" s="25">
        <v>50.08</v>
      </c>
      <c r="S76" s="25">
        <v>0</v>
      </c>
      <c r="T76" s="25">
        <v>5.0199999999999996</v>
      </c>
      <c r="U76" s="25">
        <v>10.039999999999999</v>
      </c>
      <c r="V76" s="25">
        <v>50.19</v>
      </c>
      <c r="W76" s="25">
        <v>0</v>
      </c>
      <c r="X76" s="25">
        <v>4.99</v>
      </c>
      <c r="Y76" s="25">
        <v>30.05</v>
      </c>
      <c r="Z76" s="25">
        <v>5.05</v>
      </c>
      <c r="AA76" s="25">
        <v>10.039999999999999</v>
      </c>
      <c r="AB76" s="25">
        <v>0</v>
      </c>
      <c r="AC76" s="25">
        <v>40.369999999999997</v>
      </c>
      <c r="AD76" s="25">
        <v>40.369999999999997</v>
      </c>
      <c r="AE76" s="25">
        <v>0</v>
      </c>
      <c r="AF76" s="25">
        <v>5.0199999999999996</v>
      </c>
      <c r="AG76" s="25">
        <v>94.79</v>
      </c>
      <c r="AH76" s="25">
        <v>64.790000000000006</v>
      </c>
      <c r="AI76" s="25" t="s">
        <v>94</v>
      </c>
      <c r="AJ76" s="25" t="s">
        <v>89</v>
      </c>
      <c r="AK76" s="32">
        <f t="shared" si="9"/>
        <v>10.039999999999999</v>
      </c>
      <c r="AL76" s="32">
        <f t="shared" si="10"/>
        <v>20.02</v>
      </c>
      <c r="AM76" s="32">
        <f t="shared" si="11"/>
        <v>265.40000000000003</v>
      </c>
      <c r="AN76" s="32">
        <f t="shared" si="12"/>
        <v>225.55</v>
      </c>
      <c r="AO76" s="34">
        <f t="shared" si="13"/>
        <v>0.5014985014985015</v>
      </c>
      <c r="AP76" s="34">
        <f t="shared" si="14"/>
        <v>1.1766792285524275</v>
      </c>
      <c r="AQ76" s="33">
        <f t="shared" si="15"/>
        <v>265.63000000000005</v>
      </c>
      <c r="AR76" s="37">
        <f t="shared" si="16"/>
        <v>30.06</v>
      </c>
      <c r="AS76" s="37">
        <f t="shared" si="17"/>
        <v>490.95000000000005</v>
      </c>
    </row>
    <row r="77" spans="1:45" x14ac:dyDescent="0.25">
      <c r="A77" s="26" t="s">
        <v>240</v>
      </c>
      <c r="B77" t="s">
        <v>241</v>
      </c>
      <c r="C77" s="25">
        <v>0</v>
      </c>
      <c r="D77" s="25">
        <v>0</v>
      </c>
      <c r="E77" s="25">
        <v>5</v>
      </c>
      <c r="F77" s="25">
        <v>5</v>
      </c>
      <c r="G77" s="25">
        <v>0</v>
      </c>
      <c r="H77" s="25">
        <v>0</v>
      </c>
      <c r="I77" s="25">
        <v>10</v>
      </c>
      <c r="J77" s="25">
        <v>0</v>
      </c>
      <c r="K77" s="25">
        <v>0</v>
      </c>
      <c r="L77" s="25">
        <v>0</v>
      </c>
      <c r="M77" s="25">
        <v>0</v>
      </c>
      <c r="N77" s="25">
        <v>5</v>
      </c>
      <c r="O77" s="25">
        <v>5</v>
      </c>
      <c r="P77" s="25">
        <v>0</v>
      </c>
      <c r="Q77" s="25">
        <v>5</v>
      </c>
      <c r="R77" s="25">
        <v>15</v>
      </c>
      <c r="S77" s="25">
        <v>0</v>
      </c>
      <c r="T77" s="25">
        <v>5</v>
      </c>
      <c r="U77" s="25">
        <v>5</v>
      </c>
      <c r="V77" s="25">
        <v>5</v>
      </c>
      <c r="W77" s="25">
        <v>5</v>
      </c>
      <c r="X77" s="25">
        <v>0</v>
      </c>
      <c r="Y77" s="25">
        <v>5</v>
      </c>
      <c r="Z77" s="25">
        <v>0</v>
      </c>
      <c r="AA77" s="25">
        <v>0</v>
      </c>
      <c r="AB77" s="25">
        <v>0</v>
      </c>
      <c r="AC77" s="25">
        <v>15</v>
      </c>
      <c r="AD77" s="25">
        <v>5</v>
      </c>
      <c r="AE77" s="25">
        <v>0</v>
      </c>
      <c r="AF77" s="25">
        <v>5</v>
      </c>
      <c r="AG77" s="25">
        <v>5</v>
      </c>
      <c r="AH77" s="25">
        <v>45</v>
      </c>
      <c r="AI77" s="25" t="s">
        <v>88</v>
      </c>
      <c r="AJ77" s="25" t="s">
        <v>89</v>
      </c>
      <c r="AK77" s="32">
        <f t="shared" si="9"/>
        <v>10</v>
      </c>
      <c r="AL77" s="32">
        <f t="shared" si="10"/>
        <v>10</v>
      </c>
      <c r="AM77" s="32">
        <f t="shared" si="11"/>
        <v>50</v>
      </c>
      <c r="AN77" s="32">
        <f t="shared" si="12"/>
        <v>80</v>
      </c>
      <c r="AO77" s="34">
        <f t="shared" si="13"/>
        <v>1</v>
      </c>
      <c r="AP77" s="34">
        <f t="shared" si="14"/>
        <v>0.625</v>
      </c>
      <c r="AQ77" s="33">
        <f t="shared" si="15"/>
        <v>75</v>
      </c>
      <c r="AR77" s="37">
        <f t="shared" si="16"/>
        <v>20</v>
      </c>
      <c r="AS77" s="37">
        <f t="shared" si="17"/>
        <v>130</v>
      </c>
    </row>
    <row r="78" spans="1:45" x14ac:dyDescent="0.25">
      <c r="A78" s="26" t="s">
        <v>242</v>
      </c>
      <c r="B78" t="s">
        <v>243</v>
      </c>
      <c r="C78" s="25">
        <v>0</v>
      </c>
      <c r="D78" s="25">
        <v>0</v>
      </c>
      <c r="E78" s="25">
        <v>0</v>
      </c>
      <c r="F78" s="25">
        <v>0</v>
      </c>
      <c r="G78" s="25">
        <v>19.63</v>
      </c>
      <c r="H78" s="25">
        <v>0</v>
      </c>
      <c r="I78" s="25">
        <v>58.9</v>
      </c>
      <c r="J78" s="25">
        <v>24.54</v>
      </c>
      <c r="K78" s="25">
        <v>19.63</v>
      </c>
      <c r="L78" s="25">
        <v>14.72</v>
      </c>
      <c r="M78" s="25">
        <v>382.84</v>
      </c>
      <c r="N78" s="25">
        <v>176.7</v>
      </c>
      <c r="O78" s="25">
        <v>29.45</v>
      </c>
      <c r="P78" s="25">
        <v>24.54</v>
      </c>
      <c r="Q78" s="25">
        <v>279.77</v>
      </c>
      <c r="R78" s="25">
        <v>343.58</v>
      </c>
      <c r="S78" s="25">
        <v>0</v>
      </c>
      <c r="T78" s="25">
        <v>49.08</v>
      </c>
      <c r="U78" s="25">
        <v>98.16</v>
      </c>
      <c r="V78" s="25">
        <v>265.04000000000002</v>
      </c>
      <c r="W78" s="25">
        <v>29.45</v>
      </c>
      <c r="X78" s="25">
        <v>4.91</v>
      </c>
      <c r="Y78" s="25">
        <v>137.43</v>
      </c>
      <c r="Z78" s="25">
        <v>14.72</v>
      </c>
      <c r="AA78" s="25">
        <v>29.45</v>
      </c>
      <c r="AB78" s="25">
        <v>29.45</v>
      </c>
      <c r="AC78" s="25">
        <v>309.22000000000003</v>
      </c>
      <c r="AD78" s="25">
        <v>319.04000000000002</v>
      </c>
      <c r="AE78" s="25">
        <v>9.82</v>
      </c>
      <c r="AF78" s="25">
        <v>34.36</v>
      </c>
      <c r="AG78" s="25">
        <v>520.27</v>
      </c>
      <c r="AH78" s="25">
        <v>613.53</v>
      </c>
      <c r="AI78" s="25" t="s">
        <v>94</v>
      </c>
      <c r="AJ78" s="25" t="s">
        <v>89</v>
      </c>
      <c r="AK78" s="32">
        <f t="shared" si="9"/>
        <v>137.43</v>
      </c>
      <c r="AL78" s="32">
        <f t="shared" si="10"/>
        <v>157.06</v>
      </c>
      <c r="AM78" s="32">
        <f t="shared" si="11"/>
        <v>1786.59</v>
      </c>
      <c r="AN78" s="32">
        <f t="shared" si="12"/>
        <v>1757.1499999999999</v>
      </c>
      <c r="AO78" s="34">
        <f t="shared" si="13"/>
        <v>0.87501591748376417</v>
      </c>
      <c r="AP78" s="34">
        <f t="shared" si="14"/>
        <v>1.0167544034373843</v>
      </c>
      <c r="AQ78" s="33">
        <f t="shared" si="15"/>
        <v>1973.0900000000001</v>
      </c>
      <c r="AR78" s="37">
        <f t="shared" si="16"/>
        <v>294.49</v>
      </c>
      <c r="AS78" s="37">
        <f t="shared" si="17"/>
        <v>3543.74</v>
      </c>
    </row>
    <row r="79" spans="1:45" x14ac:dyDescent="0.25">
      <c r="A79" s="26" t="s">
        <v>244</v>
      </c>
      <c r="B79" t="s">
        <v>245</v>
      </c>
      <c r="C79" s="25">
        <v>0</v>
      </c>
      <c r="D79" s="25">
        <v>0</v>
      </c>
      <c r="E79" s="25">
        <v>1.08</v>
      </c>
      <c r="F79" s="25">
        <v>0</v>
      </c>
      <c r="G79" s="25">
        <v>32.07</v>
      </c>
      <c r="H79" s="25">
        <v>16.670000000000002</v>
      </c>
      <c r="I79" s="25">
        <v>254.5</v>
      </c>
      <c r="J79" s="25">
        <v>100.15</v>
      </c>
      <c r="K79" s="25">
        <v>271.02999999999997</v>
      </c>
      <c r="L79" s="25">
        <v>230.35</v>
      </c>
      <c r="M79" s="25">
        <v>2727.56</v>
      </c>
      <c r="N79" s="25">
        <v>1734.11</v>
      </c>
      <c r="O79" s="25">
        <v>108.35</v>
      </c>
      <c r="P79" s="25">
        <v>165.41</v>
      </c>
      <c r="Q79" s="25">
        <v>813.02</v>
      </c>
      <c r="R79" s="25">
        <v>1243.72</v>
      </c>
      <c r="S79" s="25">
        <v>88.86</v>
      </c>
      <c r="T79" s="25">
        <v>244.52</v>
      </c>
      <c r="U79" s="25">
        <v>354.31</v>
      </c>
      <c r="V79" s="25">
        <v>725.53</v>
      </c>
      <c r="W79" s="25">
        <v>89.03</v>
      </c>
      <c r="X79" s="25">
        <v>32.85</v>
      </c>
      <c r="Y79" s="25">
        <v>314.58999999999997</v>
      </c>
      <c r="Z79" s="25">
        <v>62.94</v>
      </c>
      <c r="AA79" s="25">
        <v>201.2</v>
      </c>
      <c r="AB79" s="25">
        <v>190.41</v>
      </c>
      <c r="AC79" s="25">
        <v>1655.52</v>
      </c>
      <c r="AD79" s="25">
        <v>2112.71</v>
      </c>
      <c r="AE79" s="25">
        <v>194.9</v>
      </c>
      <c r="AF79" s="25">
        <v>308.39</v>
      </c>
      <c r="AG79" s="25">
        <v>3893.74</v>
      </c>
      <c r="AH79" s="25">
        <v>3202.48</v>
      </c>
      <c r="AI79" s="25" t="s">
        <v>88</v>
      </c>
      <c r="AJ79" s="25" t="s">
        <v>89</v>
      </c>
      <c r="AK79" s="32">
        <f t="shared" si="9"/>
        <v>985.43999999999994</v>
      </c>
      <c r="AL79" s="32">
        <f t="shared" si="10"/>
        <v>1188.5999999999999</v>
      </c>
      <c r="AM79" s="32">
        <f t="shared" si="11"/>
        <v>10014.32</v>
      </c>
      <c r="AN79" s="32">
        <f t="shared" si="12"/>
        <v>9181.64</v>
      </c>
      <c r="AO79" s="34">
        <f t="shared" si="13"/>
        <v>0.82907622412922766</v>
      </c>
      <c r="AP79" s="34">
        <f t="shared" si="14"/>
        <v>1.0906896807106357</v>
      </c>
      <c r="AQ79" s="33">
        <f t="shared" si="15"/>
        <v>9610.6500000000015</v>
      </c>
      <c r="AR79" s="37">
        <f t="shared" si="16"/>
        <v>2174.04</v>
      </c>
      <c r="AS79" s="37">
        <f t="shared" si="17"/>
        <v>19195.96</v>
      </c>
    </row>
    <row r="80" spans="1:45" x14ac:dyDescent="0.25">
      <c r="A80" s="26" t="s">
        <v>246</v>
      </c>
      <c r="B80" t="s">
        <v>247</v>
      </c>
      <c r="C80" s="25">
        <v>0</v>
      </c>
      <c r="D80" s="25">
        <v>0</v>
      </c>
      <c r="E80" s="25">
        <v>4.9800000000000004</v>
      </c>
      <c r="F80" s="25">
        <v>0</v>
      </c>
      <c r="G80" s="25">
        <v>0</v>
      </c>
      <c r="H80" s="25">
        <v>0</v>
      </c>
      <c r="I80" s="25">
        <v>24.9</v>
      </c>
      <c r="J80" s="25">
        <v>9.9600000000000009</v>
      </c>
      <c r="K80" s="25">
        <v>0</v>
      </c>
      <c r="L80" s="25">
        <v>0</v>
      </c>
      <c r="M80" s="25">
        <v>34.86</v>
      </c>
      <c r="N80" s="25">
        <v>14.94</v>
      </c>
      <c r="O80" s="25">
        <v>0</v>
      </c>
      <c r="P80" s="25">
        <v>4.9800000000000004</v>
      </c>
      <c r="Q80" s="25">
        <v>39.840000000000003</v>
      </c>
      <c r="R80" s="25">
        <v>69.73</v>
      </c>
      <c r="S80" s="25">
        <v>0</v>
      </c>
      <c r="T80" s="25">
        <v>9.9600000000000009</v>
      </c>
      <c r="U80" s="25">
        <v>9.9600000000000009</v>
      </c>
      <c r="V80" s="25">
        <v>79.69</v>
      </c>
      <c r="W80" s="25">
        <v>14.94</v>
      </c>
      <c r="X80" s="25">
        <v>0</v>
      </c>
      <c r="Y80" s="25">
        <v>69.73</v>
      </c>
      <c r="Z80" s="25">
        <v>9.9600000000000009</v>
      </c>
      <c r="AA80" s="25">
        <v>0</v>
      </c>
      <c r="AB80" s="25">
        <v>0</v>
      </c>
      <c r="AC80" s="25">
        <v>54.78</v>
      </c>
      <c r="AD80" s="25">
        <v>64.75</v>
      </c>
      <c r="AE80" s="25">
        <v>0</v>
      </c>
      <c r="AF80" s="25">
        <v>0</v>
      </c>
      <c r="AG80" s="25">
        <v>149.41</v>
      </c>
      <c r="AH80" s="25">
        <v>84.67</v>
      </c>
      <c r="AI80" s="25" t="s">
        <v>94</v>
      </c>
      <c r="AJ80" s="25" t="s">
        <v>89</v>
      </c>
      <c r="AK80" s="32">
        <f t="shared" si="9"/>
        <v>14.94</v>
      </c>
      <c r="AL80" s="32">
        <f t="shared" si="10"/>
        <v>14.940000000000001</v>
      </c>
      <c r="AM80" s="32">
        <f t="shared" si="11"/>
        <v>388.46</v>
      </c>
      <c r="AN80" s="32">
        <f t="shared" si="12"/>
        <v>333.7</v>
      </c>
      <c r="AO80" s="34">
        <f t="shared" si="13"/>
        <v>0.99999999999999989</v>
      </c>
      <c r="AP80" s="34">
        <f t="shared" si="14"/>
        <v>1.1640994905603836</v>
      </c>
      <c r="AQ80" s="33">
        <f t="shared" si="15"/>
        <v>398.43</v>
      </c>
      <c r="AR80" s="37">
        <f t="shared" si="16"/>
        <v>29.880000000000003</v>
      </c>
      <c r="AS80" s="37">
        <f t="shared" si="17"/>
        <v>722.16</v>
      </c>
    </row>
    <row r="81" spans="1:45" x14ac:dyDescent="0.25">
      <c r="A81" s="26" t="s">
        <v>248</v>
      </c>
      <c r="B81" t="s">
        <v>249</v>
      </c>
      <c r="C81" s="25">
        <v>0</v>
      </c>
      <c r="D81" s="25">
        <v>0</v>
      </c>
      <c r="E81" s="25">
        <v>0</v>
      </c>
      <c r="F81" s="25">
        <v>0</v>
      </c>
      <c r="G81" s="25">
        <v>5.19</v>
      </c>
      <c r="H81" s="25">
        <v>5.08</v>
      </c>
      <c r="I81" s="25">
        <v>50.7</v>
      </c>
      <c r="J81" s="25">
        <v>5.08</v>
      </c>
      <c r="K81" s="25">
        <v>10.27</v>
      </c>
      <c r="L81" s="25">
        <v>0</v>
      </c>
      <c r="M81" s="25">
        <v>175.65</v>
      </c>
      <c r="N81" s="25">
        <v>100.68</v>
      </c>
      <c r="O81" s="25">
        <v>9.9499999999999993</v>
      </c>
      <c r="P81" s="25">
        <v>10.06</v>
      </c>
      <c r="Q81" s="25">
        <v>106.31</v>
      </c>
      <c r="R81" s="25">
        <v>86.07</v>
      </c>
      <c r="S81" s="25">
        <v>5.29</v>
      </c>
      <c r="T81" s="25">
        <v>15.67</v>
      </c>
      <c r="U81" s="25">
        <v>15.78</v>
      </c>
      <c r="V81" s="25">
        <v>106.83</v>
      </c>
      <c r="W81" s="25">
        <v>25.62</v>
      </c>
      <c r="X81" s="25">
        <v>20.12</v>
      </c>
      <c r="Y81" s="25">
        <v>30.7</v>
      </c>
      <c r="Z81" s="25">
        <v>10.37</v>
      </c>
      <c r="AA81" s="25">
        <v>0</v>
      </c>
      <c r="AB81" s="25">
        <v>0</v>
      </c>
      <c r="AC81" s="25">
        <v>97.8</v>
      </c>
      <c r="AD81" s="25">
        <v>129.99</v>
      </c>
      <c r="AE81" s="25">
        <v>4.9800000000000004</v>
      </c>
      <c r="AF81" s="25">
        <v>15.14</v>
      </c>
      <c r="AG81" s="25">
        <v>218.37</v>
      </c>
      <c r="AH81" s="25">
        <v>223.76</v>
      </c>
      <c r="AI81" s="25" t="s">
        <v>94</v>
      </c>
      <c r="AJ81" s="25" t="s">
        <v>89</v>
      </c>
      <c r="AK81" s="32">
        <f t="shared" si="9"/>
        <v>61.3</v>
      </c>
      <c r="AL81" s="32">
        <f t="shared" si="10"/>
        <v>66.070000000000007</v>
      </c>
      <c r="AM81" s="32">
        <f t="shared" si="11"/>
        <v>695.31</v>
      </c>
      <c r="AN81" s="32">
        <f t="shared" si="12"/>
        <v>662.78</v>
      </c>
      <c r="AO81" s="34">
        <f t="shared" si="13"/>
        <v>0.92780384440744645</v>
      </c>
      <c r="AP81" s="34">
        <f t="shared" si="14"/>
        <v>1.0490811430640634</v>
      </c>
      <c r="AQ81" s="33">
        <f t="shared" si="15"/>
        <v>795.42</v>
      </c>
      <c r="AR81" s="37">
        <f t="shared" si="16"/>
        <v>127.37</v>
      </c>
      <c r="AS81" s="37">
        <f t="shared" si="17"/>
        <v>1358.09</v>
      </c>
    </row>
    <row r="82" spans="1:45" x14ac:dyDescent="0.25">
      <c r="A82" s="26" t="s">
        <v>250</v>
      </c>
      <c r="B82" t="s">
        <v>251</v>
      </c>
      <c r="C82" s="25">
        <v>0</v>
      </c>
      <c r="D82" s="25">
        <v>0</v>
      </c>
      <c r="E82" s="25">
        <v>0</v>
      </c>
      <c r="F82" s="25">
        <v>0</v>
      </c>
      <c r="G82" s="25">
        <v>32.130000000000003</v>
      </c>
      <c r="H82" s="25">
        <v>10.71</v>
      </c>
      <c r="I82" s="25">
        <v>37.549999999999997</v>
      </c>
      <c r="J82" s="25">
        <v>26.92</v>
      </c>
      <c r="K82" s="25">
        <v>32.24</v>
      </c>
      <c r="L82" s="25">
        <v>10.72</v>
      </c>
      <c r="M82" s="25">
        <v>305.73</v>
      </c>
      <c r="N82" s="25">
        <v>214.65</v>
      </c>
      <c r="O82" s="25">
        <v>5.35</v>
      </c>
      <c r="P82" s="25">
        <v>26.73</v>
      </c>
      <c r="Q82" s="25">
        <v>134.30000000000001</v>
      </c>
      <c r="R82" s="25">
        <v>166.28</v>
      </c>
      <c r="S82" s="25">
        <v>10.72</v>
      </c>
      <c r="T82" s="25">
        <v>42.95</v>
      </c>
      <c r="U82" s="25">
        <v>69.77</v>
      </c>
      <c r="V82" s="25">
        <v>101.97</v>
      </c>
      <c r="W82" s="25">
        <v>37.53</v>
      </c>
      <c r="X82" s="25">
        <v>10.71</v>
      </c>
      <c r="Y82" s="25">
        <v>80.52</v>
      </c>
      <c r="Z82" s="25">
        <v>21.47</v>
      </c>
      <c r="AA82" s="25">
        <v>32.18</v>
      </c>
      <c r="AB82" s="25">
        <v>42.92</v>
      </c>
      <c r="AC82" s="25">
        <v>199.24</v>
      </c>
      <c r="AD82" s="25">
        <v>188.6</v>
      </c>
      <c r="AE82" s="25">
        <v>0</v>
      </c>
      <c r="AF82" s="25">
        <v>53.67</v>
      </c>
      <c r="AG82" s="25">
        <v>396.11</v>
      </c>
      <c r="AH82" s="25">
        <v>460.38</v>
      </c>
      <c r="AI82" s="25" t="s">
        <v>88</v>
      </c>
      <c r="AJ82" s="25" t="s">
        <v>89</v>
      </c>
      <c r="AK82" s="32">
        <f t="shared" si="9"/>
        <v>150.15</v>
      </c>
      <c r="AL82" s="32">
        <f t="shared" si="10"/>
        <v>198.41000000000003</v>
      </c>
      <c r="AM82" s="32">
        <f t="shared" si="11"/>
        <v>1223.22</v>
      </c>
      <c r="AN82" s="32">
        <f t="shared" si="12"/>
        <v>1180.27</v>
      </c>
      <c r="AO82" s="34">
        <f t="shared" si="13"/>
        <v>0.75676629202157142</v>
      </c>
      <c r="AP82" s="34">
        <f t="shared" si="14"/>
        <v>1.0363899785642268</v>
      </c>
      <c r="AQ82" s="33">
        <f t="shared" si="15"/>
        <v>1378.95</v>
      </c>
      <c r="AR82" s="37">
        <f t="shared" si="16"/>
        <v>348.56000000000006</v>
      </c>
      <c r="AS82" s="37">
        <f t="shared" si="17"/>
        <v>2403.4899999999998</v>
      </c>
    </row>
    <row r="83" spans="1:45" x14ac:dyDescent="0.25">
      <c r="A83" s="26" t="s">
        <v>252</v>
      </c>
      <c r="B83" t="s">
        <v>253</v>
      </c>
      <c r="C83" s="25">
        <v>0</v>
      </c>
      <c r="D83" s="25">
        <v>0</v>
      </c>
      <c r="E83" s="25">
        <v>0</v>
      </c>
      <c r="F83" s="25">
        <v>0</v>
      </c>
      <c r="G83" s="25">
        <v>0</v>
      </c>
      <c r="H83" s="25">
        <v>0</v>
      </c>
      <c r="I83" s="25">
        <v>35.619999999999997</v>
      </c>
      <c r="J83" s="25">
        <v>10.18</v>
      </c>
      <c r="K83" s="25">
        <v>10.18</v>
      </c>
      <c r="L83" s="25">
        <v>10.18</v>
      </c>
      <c r="M83" s="25">
        <v>66.16</v>
      </c>
      <c r="N83" s="25">
        <v>30.54</v>
      </c>
      <c r="O83" s="25">
        <v>5.09</v>
      </c>
      <c r="P83" s="25">
        <v>0</v>
      </c>
      <c r="Q83" s="25">
        <v>76.34</v>
      </c>
      <c r="R83" s="25">
        <v>117.05</v>
      </c>
      <c r="S83" s="25">
        <v>0</v>
      </c>
      <c r="T83" s="25">
        <v>5.09</v>
      </c>
      <c r="U83" s="25">
        <v>45.8</v>
      </c>
      <c r="V83" s="25">
        <v>127.23</v>
      </c>
      <c r="W83" s="25">
        <v>5.09</v>
      </c>
      <c r="X83" s="25">
        <v>0</v>
      </c>
      <c r="Y83" s="25">
        <v>61.07</v>
      </c>
      <c r="Z83" s="25">
        <v>0</v>
      </c>
      <c r="AA83" s="25">
        <v>10.18</v>
      </c>
      <c r="AB83" s="25">
        <v>0</v>
      </c>
      <c r="AC83" s="25">
        <v>127.23</v>
      </c>
      <c r="AD83" s="25">
        <v>96.69</v>
      </c>
      <c r="AE83" s="25">
        <v>0</v>
      </c>
      <c r="AF83" s="25">
        <v>15.27</v>
      </c>
      <c r="AG83" s="25">
        <v>188.3</v>
      </c>
      <c r="AH83" s="25">
        <v>178.12</v>
      </c>
      <c r="AI83" s="25" t="s">
        <v>94</v>
      </c>
      <c r="AJ83" s="25" t="s">
        <v>89</v>
      </c>
      <c r="AK83" s="32">
        <f t="shared" si="9"/>
        <v>30.54</v>
      </c>
      <c r="AL83" s="32">
        <f t="shared" si="10"/>
        <v>30.54</v>
      </c>
      <c r="AM83" s="32">
        <f t="shared" si="11"/>
        <v>600.52</v>
      </c>
      <c r="AN83" s="32">
        <f t="shared" si="12"/>
        <v>559.80999999999995</v>
      </c>
      <c r="AO83" s="34">
        <f t="shared" si="13"/>
        <v>1</v>
      </c>
      <c r="AP83" s="34">
        <f t="shared" si="14"/>
        <v>1.0727211018023972</v>
      </c>
      <c r="AQ83" s="33">
        <f t="shared" si="15"/>
        <v>605.62</v>
      </c>
      <c r="AR83" s="37">
        <f t="shared" si="16"/>
        <v>61.08</v>
      </c>
      <c r="AS83" s="37">
        <f t="shared" si="17"/>
        <v>1160.33</v>
      </c>
    </row>
    <row r="84" spans="1:45" x14ac:dyDescent="0.25">
      <c r="A84" s="26" t="s">
        <v>254</v>
      </c>
      <c r="B84" t="s">
        <v>255</v>
      </c>
      <c r="C84" s="25">
        <v>0</v>
      </c>
      <c r="D84" s="25">
        <v>0</v>
      </c>
      <c r="E84" s="25">
        <v>0</v>
      </c>
      <c r="F84" s="25">
        <v>0</v>
      </c>
      <c r="G84" s="25">
        <v>231.7</v>
      </c>
      <c r="H84" s="25">
        <v>74.040000000000006</v>
      </c>
      <c r="I84" s="25">
        <v>139.47999999999999</v>
      </c>
      <c r="J84" s="25">
        <v>23.38</v>
      </c>
      <c r="K84" s="25">
        <v>113.68</v>
      </c>
      <c r="L84" s="25">
        <v>41.26</v>
      </c>
      <c r="M84" s="25">
        <v>210.63</v>
      </c>
      <c r="N84" s="25">
        <v>150.69999999999999</v>
      </c>
      <c r="O84" s="25">
        <v>375.9</v>
      </c>
      <c r="P84" s="25">
        <v>335.88</v>
      </c>
      <c r="Q84" s="25">
        <v>681.03</v>
      </c>
      <c r="R84" s="25">
        <v>739.98</v>
      </c>
      <c r="S84" s="25">
        <v>706.53</v>
      </c>
      <c r="T84" s="25">
        <v>1507.24</v>
      </c>
      <c r="U84" s="25">
        <v>603.15</v>
      </c>
      <c r="V84" s="25">
        <v>1453.11</v>
      </c>
      <c r="W84" s="25">
        <v>1927.04</v>
      </c>
      <c r="X84" s="25">
        <v>440.97</v>
      </c>
      <c r="Y84" s="25">
        <v>1187.69</v>
      </c>
      <c r="Z84" s="25">
        <v>216.98</v>
      </c>
      <c r="AA84" s="25">
        <v>533.48</v>
      </c>
      <c r="AB84" s="25">
        <v>410.8</v>
      </c>
      <c r="AC84" s="25">
        <v>556.91</v>
      </c>
      <c r="AD84" s="25">
        <v>939.81</v>
      </c>
      <c r="AE84" s="25">
        <v>1411.07</v>
      </c>
      <c r="AF84" s="25">
        <v>2485.04</v>
      </c>
      <c r="AG84" s="25">
        <v>5415.64</v>
      </c>
      <c r="AH84" s="25">
        <v>5824.86</v>
      </c>
      <c r="AI84" s="25" t="s">
        <v>88</v>
      </c>
      <c r="AJ84" s="25" t="s">
        <v>89</v>
      </c>
      <c r="AK84" s="32">
        <f t="shared" si="9"/>
        <v>5299.4</v>
      </c>
      <c r="AL84" s="32">
        <f t="shared" si="10"/>
        <v>5295.2300000000005</v>
      </c>
      <c r="AM84" s="32">
        <f t="shared" si="11"/>
        <v>8794.5300000000007</v>
      </c>
      <c r="AN84" s="32">
        <f t="shared" si="12"/>
        <v>9348.82</v>
      </c>
      <c r="AO84" s="34">
        <f t="shared" si="13"/>
        <v>1.0007875012039136</v>
      </c>
      <c r="AP84" s="34">
        <f t="shared" si="14"/>
        <v>0.9407101644913477</v>
      </c>
      <c r="AQ84" s="33">
        <f t="shared" si="15"/>
        <v>11160.369999999999</v>
      </c>
      <c r="AR84" s="37">
        <f t="shared" si="16"/>
        <v>10594.630000000001</v>
      </c>
      <c r="AS84" s="37">
        <f t="shared" si="17"/>
        <v>18143.349999999999</v>
      </c>
    </row>
    <row r="85" spans="1:45" x14ac:dyDescent="0.25">
      <c r="A85" s="26" t="s">
        <v>256</v>
      </c>
      <c r="B85" t="s">
        <v>257</v>
      </c>
      <c r="C85" s="25">
        <v>0</v>
      </c>
      <c r="D85" s="25">
        <v>0</v>
      </c>
      <c r="E85" s="25">
        <v>0</v>
      </c>
      <c r="F85" s="25">
        <v>0</v>
      </c>
      <c r="G85" s="25">
        <v>0</v>
      </c>
      <c r="H85" s="25">
        <v>0</v>
      </c>
      <c r="I85" s="25">
        <v>20.11</v>
      </c>
      <c r="J85" s="25">
        <v>5.0199999999999996</v>
      </c>
      <c r="K85" s="25">
        <v>9.76</v>
      </c>
      <c r="L85" s="25">
        <v>0</v>
      </c>
      <c r="M85" s="25">
        <v>79.7</v>
      </c>
      <c r="N85" s="25">
        <v>34.299999999999997</v>
      </c>
      <c r="O85" s="25">
        <v>5.18</v>
      </c>
      <c r="P85" s="25">
        <v>0</v>
      </c>
      <c r="Q85" s="25">
        <v>44.53</v>
      </c>
      <c r="R85" s="25">
        <v>64.760000000000005</v>
      </c>
      <c r="S85" s="25">
        <v>0</v>
      </c>
      <c r="T85" s="25">
        <v>0</v>
      </c>
      <c r="U85" s="25">
        <v>29.41</v>
      </c>
      <c r="V85" s="25">
        <v>79.08</v>
      </c>
      <c r="W85" s="25">
        <v>5.33</v>
      </c>
      <c r="X85" s="25">
        <v>0</v>
      </c>
      <c r="Y85" s="25">
        <v>40.22</v>
      </c>
      <c r="Z85" s="25">
        <v>14.35</v>
      </c>
      <c r="AA85" s="25">
        <v>0</v>
      </c>
      <c r="AB85" s="25">
        <v>0</v>
      </c>
      <c r="AC85" s="25">
        <v>41.42</v>
      </c>
      <c r="AD85" s="25">
        <v>30.76</v>
      </c>
      <c r="AE85" s="25">
        <v>0</v>
      </c>
      <c r="AF85" s="25">
        <v>0</v>
      </c>
      <c r="AG85" s="25">
        <v>112.07</v>
      </c>
      <c r="AH85" s="25">
        <v>93.71</v>
      </c>
      <c r="AI85" s="25" t="s">
        <v>88</v>
      </c>
      <c r="AJ85" s="25" t="s">
        <v>89</v>
      </c>
      <c r="AK85" s="32">
        <f t="shared" si="9"/>
        <v>20.27</v>
      </c>
      <c r="AL85" s="32">
        <f t="shared" si="10"/>
        <v>0</v>
      </c>
      <c r="AM85" s="32">
        <f t="shared" si="11"/>
        <v>367.46</v>
      </c>
      <c r="AN85" s="32">
        <f t="shared" si="12"/>
        <v>321.97999999999996</v>
      </c>
      <c r="AO85" s="34">
        <f t="shared" si="13"/>
        <v>0</v>
      </c>
      <c r="AP85" s="34">
        <f t="shared" si="14"/>
        <v>1.1412510093794646</v>
      </c>
      <c r="AQ85" s="33">
        <f t="shared" si="15"/>
        <v>431.75</v>
      </c>
      <c r="AR85" s="37">
        <f t="shared" si="16"/>
        <v>20.27</v>
      </c>
      <c r="AS85" s="37">
        <f t="shared" si="17"/>
        <v>689.43999999999994</v>
      </c>
    </row>
    <row r="86" spans="1:45" x14ac:dyDescent="0.25">
      <c r="A86" s="26" t="s">
        <v>258</v>
      </c>
      <c r="B86" t="s">
        <v>259</v>
      </c>
      <c r="C86" s="25">
        <v>0</v>
      </c>
      <c r="D86" s="25">
        <v>0</v>
      </c>
      <c r="E86" s="25">
        <v>5.15</v>
      </c>
      <c r="F86" s="25">
        <v>0</v>
      </c>
      <c r="G86" s="25">
        <v>0</v>
      </c>
      <c r="H86" s="25">
        <v>0</v>
      </c>
      <c r="I86" s="25">
        <v>15.45</v>
      </c>
      <c r="J86" s="25">
        <v>5.15</v>
      </c>
      <c r="K86" s="25">
        <v>5.15</v>
      </c>
      <c r="L86" s="25">
        <v>0</v>
      </c>
      <c r="M86" s="25">
        <v>36.049999999999997</v>
      </c>
      <c r="N86" s="25">
        <v>36.049999999999997</v>
      </c>
      <c r="O86" s="25">
        <v>5.15</v>
      </c>
      <c r="P86" s="25">
        <v>0</v>
      </c>
      <c r="Q86" s="25">
        <v>56.65</v>
      </c>
      <c r="R86" s="25">
        <v>72.099999999999994</v>
      </c>
      <c r="S86" s="25">
        <v>5.15</v>
      </c>
      <c r="T86" s="25">
        <v>10.3</v>
      </c>
      <c r="U86" s="25">
        <v>56.65</v>
      </c>
      <c r="V86" s="25">
        <v>82.4</v>
      </c>
      <c r="W86" s="25">
        <v>5.15</v>
      </c>
      <c r="X86" s="25">
        <v>0</v>
      </c>
      <c r="Y86" s="25">
        <v>46.35</v>
      </c>
      <c r="Z86" s="25">
        <v>5.15</v>
      </c>
      <c r="AA86" s="25">
        <v>0</v>
      </c>
      <c r="AB86" s="25">
        <v>0</v>
      </c>
      <c r="AC86" s="25">
        <v>87.55</v>
      </c>
      <c r="AD86" s="25">
        <v>103</v>
      </c>
      <c r="AE86" s="25">
        <v>0</v>
      </c>
      <c r="AF86" s="25">
        <v>0</v>
      </c>
      <c r="AG86" s="25">
        <v>144.19999999999999</v>
      </c>
      <c r="AH86" s="25">
        <v>128.75</v>
      </c>
      <c r="AI86" s="25" t="s">
        <v>94</v>
      </c>
      <c r="AJ86" s="25" t="s">
        <v>89</v>
      </c>
      <c r="AK86" s="32">
        <f t="shared" si="9"/>
        <v>20.6</v>
      </c>
      <c r="AL86" s="32">
        <f t="shared" si="10"/>
        <v>10.3</v>
      </c>
      <c r="AM86" s="32">
        <f t="shared" si="11"/>
        <v>448.04999999999995</v>
      </c>
      <c r="AN86" s="32">
        <f t="shared" si="12"/>
        <v>432.6</v>
      </c>
      <c r="AO86" s="34">
        <f t="shared" si="13"/>
        <v>2</v>
      </c>
      <c r="AP86" s="34">
        <f t="shared" si="14"/>
        <v>1.0357142857142856</v>
      </c>
      <c r="AQ86" s="33">
        <f t="shared" si="15"/>
        <v>448.04999999999995</v>
      </c>
      <c r="AR86" s="37">
        <f t="shared" si="16"/>
        <v>30.900000000000002</v>
      </c>
      <c r="AS86" s="37">
        <f t="shared" si="17"/>
        <v>880.65</v>
      </c>
    </row>
    <row r="87" spans="1:45" x14ac:dyDescent="0.25">
      <c r="A87" s="26" t="s">
        <v>260</v>
      </c>
      <c r="B87" t="s">
        <v>261</v>
      </c>
      <c r="C87" s="25">
        <v>0</v>
      </c>
      <c r="D87" s="25">
        <v>0</v>
      </c>
      <c r="E87" s="25">
        <v>5.0199999999999996</v>
      </c>
      <c r="F87" s="25">
        <v>0</v>
      </c>
      <c r="G87" s="25">
        <v>0</v>
      </c>
      <c r="H87" s="25">
        <v>0</v>
      </c>
      <c r="I87" s="25">
        <v>20.04</v>
      </c>
      <c r="J87" s="25">
        <v>0</v>
      </c>
      <c r="K87" s="25">
        <v>0</v>
      </c>
      <c r="L87" s="25">
        <v>0</v>
      </c>
      <c r="M87" s="25">
        <v>20.04</v>
      </c>
      <c r="N87" s="25">
        <v>15.05</v>
      </c>
      <c r="O87" s="25">
        <v>5.0199999999999996</v>
      </c>
      <c r="P87" s="25">
        <v>5.01</v>
      </c>
      <c r="Q87" s="25">
        <v>70.12</v>
      </c>
      <c r="R87" s="25">
        <v>60.15</v>
      </c>
      <c r="S87" s="25">
        <v>0</v>
      </c>
      <c r="T87" s="25">
        <v>10.02</v>
      </c>
      <c r="U87" s="25">
        <v>25.05</v>
      </c>
      <c r="V87" s="25">
        <v>60.12</v>
      </c>
      <c r="W87" s="25">
        <v>5</v>
      </c>
      <c r="X87" s="25">
        <v>5</v>
      </c>
      <c r="Y87" s="25">
        <v>50.18</v>
      </c>
      <c r="Z87" s="25">
        <v>0</v>
      </c>
      <c r="AA87" s="25">
        <v>5.01</v>
      </c>
      <c r="AB87" s="25">
        <v>5.01</v>
      </c>
      <c r="AC87" s="25">
        <v>75.290000000000006</v>
      </c>
      <c r="AD87" s="25">
        <v>85.35</v>
      </c>
      <c r="AE87" s="25">
        <v>5.01</v>
      </c>
      <c r="AF87" s="25">
        <v>15.04</v>
      </c>
      <c r="AG87" s="25">
        <v>120.22</v>
      </c>
      <c r="AH87" s="25">
        <v>165.2</v>
      </c>
      <c r="AI87" s="25" t="s">
        <v>88</v>
      </c>
      <c r="AJ87" s="25" t="s">
        <v>89</v>
      </c>
      <c r="AK87" s="32">
        <f t="shared" si="9"/>
        <v>20.04</v>
      </c>
      <c r="AL87" s="32">
        <f t="shared" si="10"/>
        <v>40.08</v>
      </c>
      <c r="AM87" s="32">
        <f t="shared" si="11"/>
        <v>385.96000000000004</v>
      </c>
      <c r="AN87" s="32">
        <f t="shared" si="12"/>
        <v>385.87</v>
      </c>
      <c r="AO87" s="34">
        <f t="shared" si="13"/>
        <v>0.5</v>
      </c>
      <c r="AP87" s="34">
        <f t="shared" si="14"/>
        <v>1.0002332391738151</v>
      </c>
      <c r="AQ87" s="33">
        <f t="shared" si="15"/>
        <v>355.82000000000005</v>
      </c>
      <c r="AR87" s="37">
        <f t="shared" si="16"/>
        <v>60.12</v>
      </c>
      <c r="AS87" s="37">
        <f t="shared" si="17"/>
        <v>771.83</v>
      </c>
    </row>
    <row r="88" spans="1:45" x14ac:dyDescent="0.25">
      <c r="A88" s="26" t="s">
        <v>262</v>
      </c>
      <c r="B88" t="s">
        <v>263</v>
      </c>
      <c r="C88" s="25">
        <v>0</v>
      </c>
      <c r="D88" s="25">
        <v>0</v>
      </c>
      <c r="E88" s="25">
        <v>2.5</v>
      </c>
      <c r="F88" s="25">
        <v>0</v>
      </c>
      <c r="G88" s="25">
        <v>51.02</v>
      </c>
      <c r="H88" s="25">
        <v>1</v>
      </c>
      <c r="I88" s="25">
        <v>155.16</v>
      </c>
      <c r="J88" s="25">
        <v>33.74</v>
      </c>
      <c r="K88" s="25">
        <v>76.47</v>
      </c>
      <c r="L88" s="25">
        <v>77.11</v>
      </c>
      <c r="M88" s="25">
        <v>986.61</v>
      </c>
      <c r="N88" s="25">
        <v>768.83</v>
      </c>
      <c r="O88" s="25">
        <v>50.31</v>
      </c>
      <c r="P88" s="25">
        <v>60.28</v>
      </c>
      <c r="Q88" s="25">
        <v>580.87</v>
      </c>
      <c r="R88" s="25">
        <v>702.38</v>
      </c>
      <c r="S88" s="25">
        <v>18.149999999999999</v>
      </c>
      <c r="T88" s="25">
        <v>113.54</v>
      </c>
      <c r="U88" s="25">
        <v>209.98</v>
      </c>
      <c r="V88" s="25">
        <v>496.87</v>
      </c>
      <c r="W88" s="25">
        <v>94.62</v>
      </c>
      <c r="X88" s="25">
        <v>38.72</v>
      </c>
      <c r="Y88" s="25">
        <v>350.22</v>
      </c>
      <c r="Z88" s="25">
        <v>39.58</v>
      </c>
      <c r="AA88" s="25">
        <v>86.37</v>
      </c>
      <c r="AB88" s="25">
        <v>69.8</v>
      </c>
      <c r="AC88" s="25">
        <v>748.91</v>
      </c>
      <c r="AD88" s="25">
        <v>935.44</v>
      </c>
      <c r="AE88" s="25">
        <v>99.42</v>
      </c>
      <c r="AF88" s="25">
        <v>147.58000000000001</v>
      </c>
      <c r="AG88" s="25">
        <v>1481.7</v>
      </c>
      <c r="AH88" s="25">
        <v>1568.8</v>
      </c>
      <c r="AI88" s="25" t="s">
        <v>88</v>
      </c>
      <c r="AJ88" s="25" t="s">
        <v>89</v>
      </c>
      <c r="AK88" s="32">
        <f t="shared" si="9"/>
        <v>476.36000000000007</v>
      </c>
      <c r="AL88" s="32">
        <f t="shared" si="10"/>
        <v>508.03</v>
      </c>
      <c r="AM88" s="32">
        <f t="shared" si="11"/>
        <v>4515.95</v>
      </c>
      <c r="AN88" s="32">
        <f t="shared" si="12"/>
        <v>4545.6400000000003</v>
      </c>
      <c r="AO88" s="34">
        <f t="shared" si="13"/>
        <v>0.93766116174241698</v>
      </c>
      <c r="AP88" s="34">
        <f t="shared" si="14"/>
        <v>0.99346846648656728</v>
      </c>
      <c r="AQ88" s="33">
        <f t="shared" si="15"/>
        <v>4907.9600000000009</v>
      </c>
      <c r="AR88" s="37">
        <f t="shared" si="16"/>
        <v>984.3900000000001</v>
      </c>
      <c r="AS88" s="37">
        <f t="shared" si="17"/>
        <v>9061.59</v>
      </c>
    </row>
    <row r="89" spans="1:45" x14ac:dyDescent="0.25">
      <c r="A89" s="26" t="s">
        <v>264</v>
      </c>
      <c r="B89" t="s">
        <v>265</v>
      </c>
      <c r="C89" s="25">
        <v>0</v>
      </c>
      <c r="D89" s="25">
        <v>0</v>
      </c>
      <c r="E89" s="25">
        <v>5.04</v>
      </c>
      <c r="F89" s="25">
        <v>0</v>
      </c>
      <c r="G89" s="25">
        <v>15.11</v>
      </c>
      <c r="H89" s="25">
        <v>10.07</v>
      </c>
      <c r="I89" s="25">
        <v>115.85</v>
      </c>
      <c r="J89" s="25">
        <v>40.29</v>
      </c>
      <c r="K89" s="25">
        <v>35.26</v>
      </c>
      <c r="L89" s="25">
        <v>30.22</v>
      </c>
      <c r="M89" s="25">
        <v>327.39</v>
      </c>
      <c r="N89" s="25">
        <v>226.65</v>
      </c>
      <c r="O89" s="25">
        <v>45.33</v>
      </c>
      <c r="P89" s="25">
        <v>45.33</v>
      </c>
      <c r="Q89" s="25">
        <v>528.86</v>
      </c>
      <c r="R89" s="25">
        <v>549</v>
      </c>
      <c r="S89" s="25">
        <v>30.22</v>
      </c>
      <c r="T89" s="25">
        <v>75.55</v>
      </c>
      <c r="U89" s="25">
        <v>231.69</v>
      </c>
      <c r="V89" s="25">
        <v>619.52</v>
      </c>
      <c r="W89" s="25">
        <v>30.22</v>
      </c>
      <c r="X89" s="25">
        <v>10.07</v>
      </c>
      <c r="Y89" s="25">
        <v>372.72</v>
      </c>
      <c r="Z89" s="25">
        <v>95.7</v>
      </c>
      <c r="AA89" s="25">
        <v>65.48</v>
      </c>
      <c r="AB89" s="25">
        <v>20.149999999999999</v>
      </c>
      <c r="AC89" s="25">
        <v>528.86</v>
      </c>
      <c r="AD89" s="25">
        <v>559.08000000000004</v>
      </c>
      <c r="AE89" s="25">
        <v>10.07</v>
      </c>
      <c r="AF89" s="25">
        <v>20.149999999999999</v>
      </c>
      <c r="AG89" s="25">
        <v>921.72</v>
      </c>
      <c r="AH89" s="25">
        <v>1007.35</v>
      </c>
      <c r="AI89" s="25" t="s">
        <v>94</v>
      </c>
      <c r="AJ89" s="25" t="s">
        <v>89</v>
      </c>
      <c r="AK89" s="32">
        <f t="shared" si="9"/>
        <v>231.69</v>
      </c>
      <c r="AL89" s="32">
        <f t="shared" si="10"/>
        <v>211.54000000000002</v>
      </c>
      <c r="AM89" s="32">
        <f t="shared" si="11"/>
        <v>3032.13</v>
      </c>
      <c r="AN89" s="32">
        <f t="shared" si="12"/>
        <v>3097.59</v>
      </c>
      <c r="AO89" s="34">
        <f t="shared" si="13"/>
        <v>1.095253852699253</v>
      </c>
      <c r="AP89" s="34">
        <f t="shared" si="14"/>
        <v>0.97886744210821963</v>
      </c>
      <c r="AQ89" s="33">
        <f t="shared" si="15"/>
        <v>3440.09</v>
      </c>
      <c r="AR89" s="37">
        <f t="shared" si="16"/>
        <v>443.23</v>
      </c>
      <c r="AS89" s="37">
        <f t="shared" si="17"/>
        <v>6129.72</v>
      </c>
    </row>
    <row r="90" spans="1:45" x14ac:dyDescent="0.25">
      <c r="A90" s="26" t="s">
        <v>266</v>
      </c>
      <c r="B90" t="s">
        <v>267</v>
      </c>
      <c r="C90" s="25">
        <v>0</v>
      </c>
      <c r="D90" s="25">
        <v>0</v>
      </c>
      <c r="E90" s="25">
        <v>0</v>
      </c>
      <c r="F90" s="25">
        <v>0</v>
      </c>
      <c r="G90" s="25">
        <v>5</v>
      </c>
      <c r="H90" s="25">
        <v>0</v>
      </c>
      <c r="I90" s="25">
        <v>34.97</v>
      </c>
      <c r="J90" s="25">
        <v>24.98</v>
      </c>
      <c r="K90" s="25">
        <v>5</v>
      </c>
      <c r="L90" s="25">
        <v>0</v>
      </c>
      <c r="M90" s="25">
        <v>139.87</v>
      </c>
      <c r="N90" s="25">
        <v>74.930000000000007</v>
      </c>
      <c r="O90" s="25">
        <v>0</v>
      </c>
      <c r="P90" s="25">
        <v>9.99</v>
      </c>
      <c r="Q90" s="25">
        <v>149.86000000000001</v>
      </c>
      <c r="R90" s="25">
        <v>164.85</v>
      </c>
      <c r="S90" s="25">
        <v>0</v>
      </c>
      <c r="T90" s="25">
        <v>29.97</v>
      </c>
      <c r="U90" s="25">
        <v>74.930000000000007</v>
      </c>
      <c r="V90" s="25">
        <v>164.85</v>
      </c>
      <c r="W90" s="25">
        <v>0</v>
      </c>
      <c r="X90" s="25">
        <v>0</v>
      </c>
      <c r="Y90" s="25">
        <v>99.91</v>
      </c>
      <c r="Z90" s="25">
        <v>9.99</v>
      </c>
      <c r="AA90" s="25">
        <v>5</v>
      </c>
      <c r="AB90" s="25">
        <v>0</v>
      </c>
      <c r="AC90" s="25">
        <v>159.85</v>
      </c>
      <c r="AD90" s="25">
        <v>199.82</v>
      </c>
      <c r="AE90" s="25">
        <v>0</v>
      </c>
      <c r="AF90" s="25">
        <v>5</v>
      </c>
      <c r="AG90" s="25">
        <v>284.32</v>
      </c>
      <c r="AH90" s="25">
        <v>303.89</v>
      </c>
      <c r="AI90" s="25" t="s">
        <v>94</v>
      </c>
      <c r="AJ90" s="25" t="s">
        <v>89</v>
      </c>
      <c r="AK90" s="32">
        <f t="shared" si="9"/>
        <v>15</v>
      </c>
      <c r="AL90" s="32">
        <f t="shared" si="10"/>
        <v>44.96</v>
      </c>
      <c r="AM90" s="32">
        <f t="shared" si="11"/>
        <v>943.71</v>
      </c>
      <c r="AN90" s="32">
        <f t="shared" si="12"/>
        <v>943.31000000000006</v>
      </c>
      <c r="AO90" s="34">
        <f t="shared" si="13"/>
        <v>0.33362989323843417</v>
      </c>
      <c r="AP90" s="34">
        <f t="shared" si="14"/>
        <v>1.0004240387571424</v>
      </c>
      <c r="AQ90" s="33">
        <f t="shared" si="15"/>
        <v>989.10000000000014</v>
      </c>
      <c r="AR90" s="37">
        <f t="shared" si="16"/>
        <v>59.96</v>
      </c>
      <c r="AS90" s="37">
        <f t="shared" si="17"/>
        <v>1887.02</v>
      </c>
    </row>
    <row r="91" spans="1:45" x14ac:dyDescent="0.25">
      <c r="A91" s="26" t="s">
        <v>268</v>
      </c>
      <c r="B91" t="s">
        <v>269</v>
      </c>
      <c r="C91" s="25">
        <v>0</v>
      </c>
      <c r="D91" s="25">
        <v>0</v>
      </c>
      <c r="E91" s="25">
        <v>5.01</v>
      </c>
      <c r="F91" s="25">
        <v>0</v>
      </c>
      <c r="G91" s="25">
        <v>5.01</v>
      </c>
      <c r="H91" s="25">
        <v>5.01</v>
      </c>
      <c r="I91" s="25">
        <v>30.05</v>
      </c>
      <c r="J91" s="25">
        <v>5.01</v>
      </c>
      <c r="K91" s="25">
        <v>0</v>
      </c>
      <c r="L91" s="25">
        <v>10.02</v>
      </c>
      <c r="M91" s="25">
        <v>85.13</v>
      </c>
      <c r="N91" s="25">
        <v>50.08</v>
      </c>
      <c r="O91" s="25">
        <v>0</v>
      </c>
      <c r="P91" s="25">
        <v>0</v>
      </c>
      <c r="Q91" s="25">
        <v>25.04</v>
      </c>
      <c r="R91" s="25">
        <v>45.07</v>
      </c>
      <c r="S91" s="25">
        <v>0</v>
      </c>
      <c r="T91" s="25">
        <v>5.01</v>
      </c>
      <c r="U91" s="25">
        <v>5.01</v>
      </c>
      <c r="V91" s="25">
        <v>45.07</v>
      </c>
      <c r="W91" s="25">
        <v>0</v>
      </c>
      <c r="X91" s="25">
        <v>0</v>
      </c>
      <c r="Y91" s="25">
        <v>5.01</v>
      </c>
      <c r="Z91" s="25">
        <v>0</v>
      </c>
      <c r="AA91" s="25">
        <v>0</v>
      </c>
      <c r="AB91" s="25">
        <v>0</v>
      </c>
      <c r="AC91" s="25">
        <v>45.07</v>
      </c>
      <c r="AD91" s="25">
        <v>45.07</v>
      </c>
      <c r="AE91" s="25">
        <v>5.01</v>
      </c>
      <c r="AF91" s="25">
        <v>10.02</v>
      </c>
      <c r="AG91" s="25">
        <v>90.14</v>
      </c>
      <c r="AH91" s="25">
        <v>100.16</v>
      </c>
      <c r="AI91" s="25" t="s">
        <v>94</v>
      </c>
      <c r="AJ91" s="25" t="s">
        <v>89</v>
      </c>
      <c r="AK91" s="32">
        <f t="shared" si="9"/>
        <v>10.02</v>
      </c>
      <c r="AL91" s="32">
        <f t="shared" si="10"/>
        <v>30.06</v>
      </c>
      <c r="AM91" s="32">
        <f t="shared" si="11"/>
        <v>290.45999999999998</v>
      </c>
      <c r="AN91" s="32">
        <f t="shared" si="12"/>
        <v>290.45999999999998</v>
      </c>
      <c r="AO91" s="34">
        <f t="shared" si="13"/>
        <v>0.33333333333333331</v>
      </c>
      <c r="AP91" s="34">
        <f t="shared" si="14"/>
        <v>1</v>
      </c>
      <c r="AQ91" s="33">
        <f t="shared" si="15"/>
        <v>325.52999999999997</v>
      </c>
      <c r="AR91" s="37">
        <f t="shared" si="16"/>
        <v>40.08</v>
      </c>
      <c r="AS91" s="37">
        <f t="shared" si="17"/>
        <v>580.91999999999996</v>
      </c>
    </row>
    <row r="92" spans="1:45" x14ac:dyDescent="0.25">
      <c r="A92" s="26" t="s">
        <v>270</v>
      </c>
      <c r="B92" t="s">
        <v>271</v>
      </c>
      <c r="C92" s="25">
        <v>0</v>
      </c>
      <c r="D92" s="25">
        <v>0</v>
      </c>
      <c r="E92" s="25">
        <v>0</v>
      </c>
      <c r="F92" s="25">
        <v>0</v>
      </c>
      <c r="G92" s="25">
        <v>106.19</v>
      </c>
      <c r="H92" s="25">
        <v>20.69</v>
      </c>
      <c r="I92" s="25">
        <v>110.02</v>
      </c>
      <c r="J92" s="25">
        <v>71.98</v>
      </c>
      <c r="K92" s="25">
        <v>236.47</v>
      </c>
      <c r="L92" s="25">
        <v>179.49</v>
      </c>
      <c r="M92" s="25">
        <v>1129.4100000000001</v>
      </c>
      <c r="N92" s="25">
        <v>768.41</v>
      </c>
      <c r="O92" s="25">
        <v>181.64</v>
      </c>
      <c r="P92" s="25">
        <v>279.13</v>
      </c>
      <c r="Q92" s="25">
        <v>828.29</v>
      </c>
      <c r="R92" s="25">
        <v>1046.58</v>
      </c>
      <c r="S92" s="25">
        <v>237.81</v>
      </c>
      <c r="T92" s="25">
        <v>591.85</v>
      </c>
      <c r="U92" s="25">
        <v>585.72</v>
      </c>
      <c r="V92" s="25">
        <v>1046.1300000000001</v>
      </c>
      <c r="W92" s="25">
        <v>493.56</v>
      </c>
      <c r="X92" s="25">
        <v>192.91</v>
      </c>
      <c r="Y92" s="25">
        <v>538.46</v>
      </c>
      <c r="Z92" s="25">
        <v>123.7</v>
      </c>
      <c r="AA92" s="25">
        <v>260.36</v>
      </c>
      <c r="AB92" s="25">
        <v>215.23</v>
      </c>
      <c r="AC92" s="25">
        <v>930.46</v>
      </c>
      <c r="AD92" s="25">
        <v>1387.18</v>
      </c>
      <c r="AE92" s="25">
        <v>309.64</v>
      </c>
      <c r="AF92" s="25">
        <v>551.58000000000004</v>
      </c>
      <c r="AG92" s="25">
        <v>2042.22</v>
      </c>
      <c r="AH92" s="25">
        <v>2214.38</v>
      </c>
      <c r="AI92" s="25" t="s">
        <v>101</v>
      </c>
      <c r="AJ92" s="25" t="s">
        <v>89</v>
      </c>
      <c r="AK92" s="32">
        <f t="shared" si="9"/>
        <v>1825.6699999999996</v>
      </c>
      <c r="AL92" s="32">
        <f t="shared" si="10"/>
        <v>2030.88</v>
      </c>
      <c r="AM92" s="32">
        <f t="shared" si="11"/>
        <v>6164.5800000000008</v>
      </c>
      <c r="AN92" s="32">
        <f t="shared" si="12"/>
        <v>6658.36</v>
      </c>
      <c r="AO92" s="34">
        <f t="shared" si="13"/>
        <v>0.89895513275033456</v>
      </c>
      <c r="AP92" s="34">
        <f t="shared" si="14"/>
        <v>0.9258405973843411</v>
      </c>
      <c r="AQ92" s="33">
        <f t="shared" si="15"/>
        <v>8768.4400000000023</v>
      </c>
      <c r="AR92" s="37">
        <f t="shared" si="16"/>
        <v>3856.5499999999997</v>
      </c>
      <c r="AS92" s="37">
        <f t="shared" si="17"/>
        <v>12822.94</v>
      </c>
    </row>
    <row r="93" spans="1:45" x14ac:dyDescent="0.25">
      <c r="A93" s="26" t="s">
        <v>272</v>
      </c>
      <c r="B93" t="s">
        <v>273</v>
      </c>
      <c r="C93" s="25">
        <v>0</v>
      </c>
      <c r="D93" s="25">
        <v>0</v>
      </c>
      <c r="E93" s="25">
        <v>0</v>
      </c>
      <c r="F93" s="25">
        <v>0</v>
      </c>
      <c r="G93" s="25">
        <v>19.64</v>
      </c>
      <c r="H93" s="25">
        <v>0</v>
      </c>
      <c r="I93" s="25">
        <v>45.59</v>
      </c>
      <c r="J93" s="25">
        <v>30.32</v>
      </c>
      <c r="K93" s="25">
        <v>34.75</v>
      </c>
      <c r="L93" s="25">
        <v>25.43</v>
      </c>
      <c r="M93" s="25">
        <v>377.11</v>
      </c>
      <c r="N93" s="25">
        <v>251.62</v>
      </c>
      <c r="O93" s="25">
        <v>9.85</v>
      </c>
      <c r="P93" s="25">
        <v>80.040000000000006</v>
      </c>
      <c r="Q93" s="25">
        <v>408.75</v>
      </c>
      <c r="R93" s="25">
        <v>447.23</v>
      </c>
      <c r="S93" s="25">
        <v>5.04</v>
      </c>
      <c r="T93" s="25">
        <v>50.4</v>
      </c>
      <c r="U93" s="25">
        <v>200.94</v>
      </c>
      <c r="V93" s="25">
        <v>502.58</v>
      </c>
      <c r="W93" s="25">
        <v>74.61</v>
      </c>
      <c r="X93" s="25">
        <v>9.85</v>
      </c>
      <c r="Y93" s="25">
        <v>266.98</v>
      </c>
      <c r="Z93" s="25">
        <v>35.21</v>
      </c>
      <c r="AA93" s="25">
        <v>50.71</v>
      </c>
      <c r="AB93" s="25">
        <v>25.52</v>
      </c>
      <c r="AC93" s="25">
        <v>398.08</v>
      </c>
      <c r="AD93" s="25">
        <v>559.15</v>
      </c>
      <c r="AE93" s="25">
        <v>19.489999999999998</v>
      </c>
      <c r="AF93" s="25">
        <v>24.9</v>
      </c>
      <c r="AG93" s="25">
        <v>788.95</v>
      </c>
      <c r="AH93" s="25">
        <v>785.55</v>
      </c>
      <c r="AI93" s="25" t="s">
        <v>94</v>
      </c>
      <c r="AJ93" s="25" t="s">
        <v>89</v>
      </c>
      <c r="AK93" s="32">
        <f t="shared" si="9"/>
        <v>214.09</v>
      </c>
      <c r="AL93" s="32">
        <f t="shared" si="10"/>
        <v>216.14000000000001</v>
      </c>
      <c r="AM93" s="32">
        <f t="shared" si="11"/>
        <v>2486.4</v>
      </c>
      <c r="AN93" s="32">
        <f t="shared" si="12"/>
        <v>2611.66</v>
      </c>
      <c r="AO93" s="34">
        <f t="shared" si="13"/>
        <v>0.99051540668085492</v>
      </c>
      <c r="AP93" s="34">
        <f t="shared" si="14"/>
        <v>0.95203816729589619</v>
      </c>
      <c r="AQ93" s="33">
        <f t="shared" si="15"/>
        <v>2875.94</v>
      </c>
      <c r="AR93" s="37">
        <f t="shared" si="16"/>
        <v>430.23</v>
      </c>
      <c r="AS93" s="37">
        <f t="shared" si="17"/>
        <v>5098.0599999999995</v>
      </c>
    </row>
    <row r="94" spans="1:45" x14ac:dyDescent="0.25">
      <c r="A94" s="26" t="s">
        <v>274</v>
      </c>
      <c r="B94" t="s">
        <v>275</v>
      </c>
      <c r="C94" s="25">
        <v>0</v>
      </c>
      <c r="D94" s="25">
        <v>0</v>
      </c>
      <c r="E94" s="25">
        <v>5</v>
      </c>
      <c r="F94" s="25">
        <v>0</v>
      </c>
      <c r="G94" s="25">
        <v>5</v>
      </c>
      <c r="H94" s="25">
        <v>0</v>
      </c>
      <c r="I94" s="25">
        <v>45</v>
      </c>
      <c r="J94" s="25">
        <v>5</v>
      </c>
      <c r="K94" s="25">
        <v>0</v>
      </c>
      <c r="L94" s="25">
        <v>0</v>
      </c>
      <c r="M94" s="25">
        <v>90</v>
      </c>
      <c r="N94" s="25">
        <v>70</v>
      </c>
      <c r="O94" s="25">
        <v>5</v>
      </c>
      <c r="P94" s="25">
        <v>10</v>
      </c>
      <c r="Q94" s="25">
        <v>120</v>
      </c>
      <c r="R94" s="25">
        <v>140</v>
      </c>
      <c r="S94" s="25">
        <v>0</v>
      </c>
      <c r="T94" s="25">
        <v>0</v>
      </c>
      <c r="U94" s="25">
        <v>60</v>
      </c>
      <c r="V94" s="25">
        <v>125</v>
      </c>
      <c r="W94" s="25">
        <v>10</v>
      </c>
      <c r="X94" s="25">
        <v>5</v>
      </c>
      <c r="Y94" s="25">
        <v>70</v>
      </c>
      <c r="Z94" s="25">
        <v>5</v>
      </c>
      <c r="AA94" s="25">
        <v>0</v>
      </c>
      <c r="AB94" s="25">
        <v>15</v>
      </c>
      <c r="AC94" s="25">
        <v>115</v>
      </c>
      <c r="AD94" s="25">
        <v>145</v>
      </c>
      <c r="AE94" s="25">
        <v>5</v>
      </c>
      <c r="AF94" s="25">
        <v>0</v>
      </c>
      <c r="AG94" s="25">
        <v>200</v>
      </c>
      <c r="AH94" s="25">
        <v>220</v>
      </c>
      <c r="AI94" s="25" t="s">
        <v>94</v>
      </c>
      <c r="AJ94" s="25" t="s">
        <v>89</v>
      </c>
      <c r="AK94" s="32">
        <f t="shared" si="9"/>
        <v>25</v>
      </c>
      <c r="AL94" s="32">
        <f t="shared" si="10"/>
        <v>30</v>
      </c>
      <c r="AM94" s="32">
        <f t="shared" si="11"/>
        <v>705</v>
      </c>
      <c r="AN94" s="32">
        <f t="shared" si="12"/>
        <v>710</v>
      </c>
      <c r="AO94" s="34">
        <f t="shared" si="13"/>
        <v>0.83333333333333337</v>
      </c>
      <c r="AP94" s="34">
        <f t="shared" si="14"/>
        <v>0.99295774647887325</v>
      </c>
      <c r="AQ94" s="33">
        <f t="shared" si="15"/>
        <v>770</v>
      </c>
      <c r="AR94" s="37">
        <f t="shared" si="16"/>
        <v>55</v>
      </c>
      <c r="AS94" s="37">
        <f t="shared" si="17"/>
        <v>1415</v>
      </c>
    </row>
    <row r="95" spans="1:45" x14ac:dyDescent="0.25">
      <c r="A95" s="26" t="s">
        <v>276</v>
      </c>
      <c r="B95" t="s">
        <v>277</v>
      </c>
      <c r="C95" s="25">
        <v>0</v>
      </c>
      <c r="D95" s="25">
        <v>0</v>
      </c>
      <c r="E95" s="25">
        <v>4.8499999999999996</v>
      </c>
      <c r="F95" s="25">
        <v>0</v>
      </c>
      <c r="G95" s="25">
        <v>30.28</v>
      </c>
      <c r="H95" s="25">
        <v>4.57</v>
      </c>
      <c r="I95" s="25">
        <v>71.78</v>
      </c>
      <c r="J95" s="25">
        <v>5.15</v>
      </c>
      <c r="K95" s="25">
        <v>34.83</v>
      </c>
      <c r="L95" s="25">
        <v>15.74</v>
      </c>
      <c r="M95" s="25">
        <v>275.5</v>
      </c>
      <c r="N95" s="25">
        <v>169.17</v>
      </c>
      <c r="O95" s="25">
        <v>46.04</v>
      </c>
      <c r="P95" s="25">
        <v>15.14</v>
      </c>
      <c r="Q95" s="25">
        <v>308.74</v>
      </c>
      <c r="R95" s="25">
        <v>466.67</v>
      </c>
      <c r="S95" s="25">
        <v>0</v>
      </c>
      <c r="T95" s="25">
        <v>54.86</v>
      </c>
      <c r="U95" s="25">
        <v>143.85</v>
      </c>
      <c r="V95" s="25">
        <v>427.04</v>
      </c>
      <c r="W95" s="25">
        <v>34.869999999999997</v>
      </c>
      <c r="X95" s="25">
        <v>10.14</v>
      </c>
      <c r="Y95" s="25">
        <v>209.73</v>
      </c>
      <c r="Z95" s="25">
        <v>26.35</v>
      </c>
      <c r="AA95" s="25">
        <v>14.99</v>
      </c>
      <c r="AB95" s="25">
        <v>14.43</v>
      </c>
      <c r="AC95" s="25">
        <v>283.52999999999997</v>
      </c>
      <c r="AD95" s="25">
        <v>274.95</v>
      </c>
      <c r="AE95" s="25">
        <v>24.19</v>
      </c>
      <c r="AF95" s="25">
        <v>78.260000000000005</v>
      </c>
      <c r="AG95" s="25">
        <v>679.91</v>
      </c>
      <c r="AH95" s="25">
        <v>717.68</v>
      </c>
      <c r="AI95" s="25" t="s">
        <v>88</v>
      </c>
      <c r="AJ95" s="25" t="s">
        <v>89</v>
      </c>
      <c r="AK95" s="32">
        <f t="shared" si="9"/>
        <v>185.20000000000002</v>
      </c>
      <c r="AL95" s="32">
        <f t="shared" si="10"/>
        <v>193.14</v>
      </c>
      <c r="AM95" s="32">
        <f t="shared" si="11"/>
        <v>1977.8899999999999</v>
      </c>
      <c r="AN95" s="32">
        <f t="shared" si="12"/>
        <v>2087.0099999999998</v>
      </c>
      <c r="AO95" s="34">
        <f t="shared" si="13"/>
        <v>0.95888992440716592</v>
      </c>
      <c r="AP95" s="34">
        <f t="shared" si="14"/>
        <v>0.94771467314483404</v>
      </c>
      <c r="AQ95" s="33">
        <f t="shared" si="15"/>
        <v>2355.2999999999997</v>
      </c>
      <c r="AR95" s="37">
        <f t="shared" si="16"/>
        <v>378.34000000000003</v>
      </c>
      <c r="AS95" s="37">
        <f t="shared" si="17"/>
        <v>4064.8999999999996</v>
      </c>
    </row>
    <row r="96" spans="1:45" x14ac:dyDescent="0.25">
      <c r="A96" s="26" t="s">
        <v>278</v>
      </c>
      <c r="B96" t="s">
        <v>279</v>
      </c>
      <c r="C96" s="25">
        <v>0</v>
      </c>
      <c r="D96" s="25">
        <v>0</v>
      </c>
      <c r="E96" s="25">
        <v>5</v>
      </c>
      <c r="F96" s="25">
        <v>0</v>
      </c>
      <c r="G96" s="25">
        <v>35.72</v>
      </c>
      <c r="H96" s="25">
        <v>0</v>
      </c>
      <c r="I96" s="25">
        <v>142.79</v>
      </c>
      <c r="J96" s="25">
        <v>40.83</v>
      </c>
      <c r="K96" s="25">
        <v>40.83</v>
      </c>
      <c r="L96" s="25">
        <v>25.52</v>
      </c>
      <c r="M96" s="25">
        <v>571.59</v>
      </c>
      <c r="N96" s="25">
        <v>413.38</v>
      </c>
      <c r="O96" s="25">
        <v>45.93</v>
      </c>
      <c r="P96" s="25">
        <v>35.72</v>
      </c>
      <c r="Q96" s="25">
        <v>382.76</v>
      </c>
      <c r="R96" s="25">
        <v>520.55999999999995</v>
      </c>
      <c r="S96" s="25">
        <v>0</v>
      </c>
      <c r="T96" s="25">
        <v>148</v>
      </c>
      <c r="U96" s="25">
        <v>117.38</v>
      </c>
      <c r="V96" s="25">
        <v>357.24</v>
      </c>
      <c r="W96" s="25">
        <v>51.03</v>
      </c>
      <c r="X96" s="25">
        <v>20.41</v>
      </c>
      <c r="Y96" s="25">
        <v>209.24</v>
      </c>
      <c r="Z96" s="25">
        <v>40.83</v>
      </c>
      <c r="AA96" s="25">
        <v>71.45</v>
      </c>
      <c r="AB96" s="25">
        <v>107.17</v>
      </c>
      <c r="AC96" s="25">
        <v>632.83000000000004</v>
      </c>
      <c r="AD96" s="25">
        <v>750.21</v>
      </c>
      <c r="AE96" s="25">
        <v>15.31</v>
      </c>
      <c r="AF96" s="25">
        <v>80.34</v>
      </c>
      <c r="AG96" s="25">
        <v>822.15</v>
      </c>
      <c r="AH96" s="25">
        <v>974.57</v>
      </c>
      <c r="AI96" s="25" t="s">
        <v>94</v>
      </c>
      <c r="AJ96" s="25" t="s">
        <v>89</v>
      </c>
      <c r="AK96" s="32">
        <f t="shared" si="9"/>
        <v>260.27</v>
      </c>
      <c r="AL96" s="32">
        <f t="shared" si="10"/>
        <v>417.15999999999997</v>
      </c>
      <c r="AM96" s="32">
        <f t="shared" si="11"/>
        <v>2883.7400000000002</v>
      </c>
      <c r="AN96" s="32">
        <f t="shared" si="12"/>
        <v>3097.6200000000003</v>
      </c>
      <c r="AO96" s="34">
        <f t="shared" si="13"/>
        <v>0.62390929139898366</v>
      </c>
      <c r="AP96" s="34">
        <f t="shared" si="14"/>
        <v>0.93095344167457594</v>
      </c>
      <c r="AQ96" s="33">
        <f t="shared" si="15"/>
        <v>3204.76</v>
      </c>
      <c r="AR96" s="37">
        <f t="shared" si="16"/>
        <v>677.43</v>
      </c>
      <c r="AS96" s="37">
        <f t="shared" si="17"/>
        <v>5981.3600000000006</v>
      </c>
    </row>
    <row r="97" spans="1:45" x14ac:dyDescent="0.25">
      <c r="A97" s="26" t="s">
        <v>280</v>
      </c>
      <c r="B97" t="s">
        <v>281</v>
      </c>
      <c r="C97" s="25">
        <v>0</v>
      </c>
      <c r="D97" s="25">
        <v>0</v>
      </c>
      <c r="E97" s="25">
        <v>0</v>
      </c>
      <c r="F97" s="25">
        <v>0</v>
      </c>
      <c r="G97" s="25">
        <v>49.68</v>
      </c>
      <c r="H97" s="25">
        <v>29.81</v>
      </c>
      <c r="I97" s="25">
        <v>228.58</v>
      </c>
      <c r="J97" s="25">
        <v>94.4</v>
      </c>
      <c r="K97" s="25">
        <v>19.87</v>
      </c>
      <c r="L97" s="25">
        <v>31.48</v>
      </c>
      <c r="M97" s="25">
        <v>322.95</v>
      </c>
      <c r="N97" s="25">
        <v>238.48</v>
      </c>
      <c r="O97" s="25">
        <v>44.72</v>
      </c>
      <c r="P97" s="25">
        <v>39.75</v>
      </c>
      <c r="Q97" s="25">
        <v>427.29</v>
      </c>
      <c r="R97" s="25">
        <v>612.78</v>
      </c>
      <c r="S97" s="25">
        <v>31.51</v>
      </c>
      <c r="T97" s="25">
        <v>94.4</v>
      </c>
      <c r="U97" s="25">
        <v>266.42</v>
      </c>
      <c r="V97" s="25">
        <v>467.03</v>
      </c>
      <c r="W97" s="25">
        <v>54.65</v>
      </c>
      <c r="X97" s="25">
        <v>29.81</v>
      </c>
      <c r="Y97" s="25">
        <v>337.85</v>
      </c>
      <c r="Z97" s="25">
        <v>59.62</v>
      </c>
      <c r="AA97" s="25">
        <v>44.72</v>
      </c>
      <c r="AB97" s="25">
        <v>44.72</v>
      </c>
      <c r="AC97" s="25">
        <v>452.13</v>
      </c>
      <c r="AD97" s="25">
        <v>556.5</v>
      </c>
      <c r="AE97" s="25">
        <v>47.35</v>
      </c>
      <c r="AF97" s="25">
        <v>81.19</v>
      </c>
      <c r="AG97" s="25">
        <v>1095.31</v>
      </c>
      <c r="AH97" s="25">
        <v>999.56</v>
      </c>
      <c r="AI97" s="25" t="s">
        <v>88</v>
      </c>
      <c r="AJ97" s="25" t="s">
        <v>89</v>
      </c>
      <c r="AK97" s="32">
        <f t="shared" si="9"/>
        <v>292.5</v>
      </c>
      <c r="AL97" s="32">
        <f t="shared" si="10"/>
        <v>351.16</v>
      </c>
      <c r="AM97" s="32">
        <f t="shared" si="11"/>
        <v>3130.53</v>
      </c>
      <c r="AN97" s="32">
        <f t="shared" si="12"/>
        <v>3028.37</v>
      </c>
      <c r="AO97" s="34">
        <f t="shared" si="13"/>
        <v>0.83295363936667044</v>
      </c>
      <c r="AP97" s="34">
        <f t="shared" si="14"/>
        <v>1.0337343191221682</v>
      </c>
      <c r="AQ97" s="33">
        <f t="shared" si="15"/>
        <v>3481.0800000000004</v>
      </c>
      <c r="AR97" s="37">
        <f t="shared" si="16"/>
        <v>643.66000000000008</v>
      </c>
      <c r="AS97" s="37">
        <f t="shared" si="17"/>
        <v>6158.9</v>
      </c>
    </row>
    <row r="98" spans="1:45" x14ac:dyDescent="0.25">
      <c r="A98" s="26" t="s">
        <v>282</v>
      </c>
      <c r="B98" t="s">
        <v>283</v>
      </c>
      <c r="C98" s="25">
        <v>0</v>
      </c>
      <c r="D98" s="25">
        <v>0</v>
      </c>
      <c r="E98" s="25">
        <v>0</v>
      </c>
      <c r="F98" s="25">
        <v>0</v>
      </c>
      <c r="G98" s="25">
        <v>40.520000000000003</v>
      </c>
      <c r="H98" s="25">
        <v>0</v>
      </c>
      <c r="I98" s="25">
        <v>35.46</v>
      </c>
      <c r="J98" s="25">
        <v>20.260000000000002</v>
      </c>
      <c r="K98" s="25">
        <v>60.79</v>
      </c>
      <c r="L98" s="25">
        <v>30.39</v>
      </c>
      <c r="M98" s="25">
        <v>319.13</v>
      </c>
      <c r="N98" s="25">
        <v>222.88</v>
      </c>
      <c r="O98" s="25">
        <v>70.92</v>
      </c>
      <c r="P98" s="25">
        <v>75.98</v>
      </c>
      <c r="Q98" s="25">
        <v>521.75</v>
      </c>
      <c r="R98" s="25">
        <v>516.67999999999995</v>
      </c>
      <c r="S98" s="25">
        <v>50.66</v>
      </c>
      <c r="T98" s="25">
        <v>141.83000000000001</v>
      </c>
      <c r="U98" s="25">
        <v>243.14</v>
      </c>
      <c r="V98" s="25">
        <v>699.04</v>
      </c>
      <c r="W98" s="25">
        <v>91.18</v>
      </c>
      <c r="X98" s="25">
        <v>35.46</v>
      </c>
      <c r="Y98" s="25">
        <v>455.83</v>
      </c>
      <c r="Z98" s="25">
        <v>60.79</v>
      </c>
      <c r="AA98" s="25">
        <v>40.520000000000003</v>
      </c>
      <c r="AB98" s="25">
        <v>65.849999999999994</v>
      </c>
      <c r="AC98" s="25">
        <v>607.86</v>
      </c>
      <c r="AD98" s="25">
        <v>714.17</v>
      </c>
      <c r="AE98" s="25">
        <v>35.46</v>
      </c>
      <c r="AF98" s="25">
        <v>55.72</v>
      </c>
      <c r="AG98" s="25">
        <v>1220.1300000000001</v>
      </c>
      <c r="AH98" s="25">
        <v>1032.9100000000001</v>
      </c>
      <c r="AI98" s="25" t="s">
        <v>88</v>
      </c>
      <c r="AJ98" s="25" t="s">
        <v>89</v>
      </c>
      <c r="AK98" s="32">
        <f t="shared" si="9"/>
        <v>390.05</v>
      </c>
      <c r="AL98" s="32">
        <f t="shared" si="10"/>
        <v>405.23</v>
      </c>
      <c r="AM98" s="32">
        <f t="shared" si="11"/>
        <v>3403.3</v>
      </c>
      <c r="AN98" s="32">
        <f t="shared" si="12"/>
        <v>3266.7299999999996</v>
      </c>
      <c r="AO98" s="34">
        <f t="shared" si="13"/>
        <v>0.96253979221676578</v>
      </c>
      <c r="AP98" s="34">
        <f t="shared" si="14"/>
        <v>1.0418063323262101</v>
      </c>
      <c r="AQ98" s="33">
        <f t="shared" si="15"/>
        <v>3692.6899999999996</v>
      </c>
      <c r="AR98" s="37">
        <f t="shared" si="16"/>
        <v>795.28</v>
      </c>
      <c r="AS98" s="37">
        <f t="shared" si="17"/>
        <v>6670.03</v>
      </c>
    </row>
    <row r="99" spans="1:45" x14ac:dyDescent="0.25">
      <c r="A99" s="26" t="s">
        <v>284</v>
      </c>
      <c r="B99" t="s">
        <v>285</v>
      </c>
      <c r="C99" s="25">
        <v>0</v>
      </c>
      <c r="D99" s="25">
        <v>0</v>
      </c>
      <c r="E99" s="25">
        <v>3.78</v>
      </c>
      <c r="F99" s="25">
        <v>0</v>
      </c>
      <c r="G99" s="25">
        <v>125.13</v>
      </c>
      <c r="H99" s="25">
        <v>17.47</v>
      </c>
      <c r="I99" s="25">
        <v>220.14</v>
      </c>
      <c r="J99" s="25">
        <v>48.57</v>
      </c>
      <c r="K99" s="25">
        <v>169.69</v>
      </c>
      <c r="L99" s="25">
        <v>77.69</v>
      </c>
      <c r="M99" s="25">
        <v>1057.3800000000001</v>
      </c>
      <c r="N99" s="25">
        <v>768.59</v>
      </c>
      <c r="O99" s="25">
        <v>214.62</v>
      </c>
      <c r="P99" s="25">
        <v>187.92</v>
      </c>
      <c r="Q99" s="25">
        <v>1045.4000000000001</v>
      </c>
      <c r="R99" s="25">
        <v>1353.93</v>
      </c>
      <c r="S99" s="25">
        <v>207.29</v>
      </c>
      <c r="T99" s="25">
        <v>580.77</v>
      </c>
      <c r="U99" s="25">
        <v>749.8</v>
      </c>
      <c r="V99" s="25">
        <v>1567.09</v>
      </c>
      <c r="W99" s="25">
        <v>578.08000000000004</v>
      </c>
      <c r="X99" s="25">
        <v>155.51</v>
      </c>
      <c r="Y99" s="25">
        <v>957.33</v>
      </c>
      <c r="Z99" s="25">
        <v>219.98</v>
      </c>
      <c r="AA99" s="25">
        <v>282.58999999999997</v>
      </c>
      <c r="AB99" s="25">
        <v>294.74</v>
      </c>
      <c r="AC99" s="25">
        <v>1281.8599999999999</v>
      </c>
      <c r="AD99" s="25">
        <v>1880.2</v>
      </c>
      <c r="AE99" s="25">
        <v>258.91000000000003</v>
      </c>
      <c r="AF99" s="25">
        <v>593.41999999999996</v>
      </c>
      <c r="AG99" s="25">
        <v>3022.02</v>
      </c>
      <c r="AH99" s="25">
        <v>3292.04</v>
      </c>
      <c r="AI99" s="25" t="s">
        <v>88</v>
      </c>
      <c r="AJ99" s="25" t="s">
        <v>89</v>
      </c>
      <c r="AK99" s="32">
        <f t="shared" si="9"/>
        <v>1836.31</v>
      </c>
      <c r="AL99" s="32">
        <f t="shared" si="10"/>
        <v>1907.52</v>
      </c>
      <c r="AM99" s="32">
        <f t="shared" si="11"/>
        <v>8337.7099999999991</v>
      </c>
      <c r="AN99" s="32">
        <f t="shared" si="12"/>
        <v>9130.4000000000015</v>
      </c>
      <c r="AO99" s="34">
        <f t="shared" si="13"/>
        <v>0.96266880556953527</v>
      </c>
      <c r="AP99" s="34">
        <f t="shared" si="14"/>
        <v>0.91318124069044049</v>
      </c>
      <c r="AQ99" s="33">
        <f t="shared" si="15"/>
        <v>10306.16</v>
      </c>
      <c r="AR99" s="37">
        <f t="shared" si="16"/>
        <v>3743.83</v>
      </c>
      <c r="AS99" s="37">
        <f t="shared" si="17"/>
        <v>17468.11</v>
      </c>
    </row>
    <row r="100" spans="1:45" x14ac:dyDescent="0.25">
      <c r="A100" s="26" t="s">
        <v>286</v>
      </c>
      <c r="B100" t="s">
        <v>287</v>
      </c>
      <c r="C100" s="25">
        <v>0</v>
      </c>
      <c r="D100" s="25">
        <v>0</v>
      </c>
      <c r="E100" s="25">
        <v>15</v>
      </c>
      <c r="F100" s="25">
        <v>0</v>
      </c>
      <c r="G100" s="25">
        <v>44.55</v>
      </c>
      <c r="H100" s="25">
        <v>4.5599999999999996</v>
      </c>
      <c r="I100" s="25">
        <v>113.53</v>
      </c>
      <c r="J100" s="25">
        <v>35.01</v>
      </c>
      <c r="K100" s="25">
        <v>34.18</v>
      </c>
      <c r="L100" s="25">
        <v>34.54</v>
      </c>
      <c r="M100" s="25">
        <v>558.74</v>
      </c>
      <c r="N100" s="25">
        <v>415.57</v>
      </c>
      <c r="O100" s="25">
        <v>20.18</v>
      </c>
      <c r="P100" s="25">
        <v>29.72</v>
      </c>
      <c r="Q100" s="25">
        <v>380.67</v>
      </c>
      <c r="R100" s="25">
        <v>489.72</v>
      </c>
      <c r="S100" s="25">
        <v>9.91</v>
      </c>
      <c r="T100" s="25">
        <v>63.83</v>
      </c>
      <c r="U100" s="25">
        <v>193.53</v>
      </c>
      <c r="V100" s="25">
        <v>449.66</v>
      </c>
      <c r="W100" s="25">
        <v>83.13</v>
      </c>
      <c r="X100" s="25">
        <v>4.91</v>
      </c>
      <c r="Y100" s="25">
        <v>265.52</v>
      </c>
      <c r="Z100" s="25">
        <v>64.81</v>
      </c>
      <c r="AA100" s="25">
        <v>50.44</v>
      </c>
      <c r="AB100" s="25">
        <v>71.349999999999994</v>
      </c>
      <c r="AC100" s="25">
        <v>471.92</v>
      </c>
      <c r="AD100" s="25">
        <v>559.16</v>
      </c>
      <c r="AE100" s="25">
        <v>29.64</v>
      </c>
      <c r="AF100" s="25">
        <v>69.28</v>
      </c>
      <c r="AG100" s="25">
        <v>713.83</v>
      </c>
      <c r="AH100" s="25">
        <v>1045.0899999999999</v>
      </c>
      <c r="AI100" s="25" t="s">
        <v>88</v>
      </c>
      <c r="AJ100" s="25" t="s">
        <v>89</v>
      </c>
      <c r="AK100" s="32">
        <f t="shared" si="9"/>
        <v>272.02999999999997</v>
      </c>
      <c r="AL100" s="32">
        <f t="shared" si="10"/>
        <v>278.18999999999994</v>
      </c>
      <c r="AM100" s="32">
        <f t="shared" si="11"/>
        <v>2712.7400000000002</v>
      </c>
      <c r="AN100" s="32">
        <f t="shared" si="12"/>
        <v>3059.0199999999995</v>
      </c>
      <c r="AO100" s="34">
        <f t="shared" si="13"/>
        <v>0.97785686041913811</v>
      </c>
      <c r="AP100" s="34">
        <f t="shared" si="14"/>
        <v>0.88680034782381312</v>
      </c>
      <c r="AQ100" s="33">
        <f t="shared" si="15"/>
        <v>3311.27</v>
      </c>
      <c r="AR100" s="37">
        <f t="shared" si="16"/>
        <v>550.21999999999991</v>
      </c>
      <c r="AS100" s="37">
        <f t="shared" si="17"/>
        <v>5771.76</v>
      </c>
    </row>
    <row r="101" spans="1:45" x14ac:dyDescent="0.25">
      <c r="A101" s="26" t="s">
        <v>288</v>
      </c>
      <c r="B101" t="s">
        <v>289</v>
      </c>
      <c r="C101" s="25">
        <v>0</v>
      </c>
      <c r="D101" s="25">
        <v>0</v>
      </c>
      <c r="E101" s="25">
        <v>0</v>
      </c>
      <c r="F101" s="25">
        <v>0</v>
      </c>
      <c r="G101" s="25">
        <v>9.81</v>
      </c>
      <c r="H101" s="25">
        <v>5.27</v>
      </c>
      <c r="I101" s="25">
        <v>44.31</v>
      </c>
      <c r="J101" s="25">
        <v>25.01</v>
      </c>
      <c r="K101" s="25">
        <v>0</v>
      </c>
      <c r="L101" s="25">
        <v>4.97</v>
      </c>
      <c r="M101" s="25">
        <v>114.37</v>
      </c>
      <c r="N101" s="25">
        <v>53.39</v>
      </c>
      <c r="O101" s="25">
        <v>14.92</v>
      </c>
      <c r="P101" s="25">
        <v>5.12</v>
      </c>
      <c r="Q101" s="25">
        <v>248.65</v>
      </c>
      <c r="R101" s="25">
        <v>183.25</v>
      </c>
      <c r="S101" s="25">
        <v>4.42</v>
      </c>
      <c r="T101" s="25">
        <v>58.69</v>
      </c>
      <c r="U101" s="25">
        <v>45.36</v>
      </c>
      <c r="V101" s="25">
        <v>216.76</v>
      </c>
      <c r="W101" s="25">
        <v>34.520000000000003</v>
      </c>
      <c r="X101" s="25">
        <v>5.12</v>
      </c>
      <c r="Y101" s="25">
        <v>164.59</v>
      </c>
      <c r="Z101" s="25">
        <v>29.99</v>
      </c>
      <c r="AA101" s="25">
        <v>25.6</v>
      </c>
      <c r="AB101" s="25">
        <v>10.24</v>
      </c>
      <c r="AC101" s="25">
        <v>266.14999999999998</v>
      </c>
      <c r="AD101" s="25">
        <v>375.18</v>
      </c>
      <c r="AE101" s="25">
        <v>9.9600000000000009</v>
      </c>
      <c r="AF101" s="25">
        <v>29.55</v>
      </c>
      <c r="AG101" s="25">
        <v>304.49</v>
      </c>
      <c r="AH101" s="25">
        <v>437.98</v>
      </c>
      <c r="AI101" s="25" t="s">
        <v>94</v>
      </c>
      <c r="AJ101" s="25" t="s">
        <v>89</v>
      </c>
      <c r="AK101" s="32">
        <f t="shared" si="9"/>
        <v>99.230000000000018</v>
      </c>
      <c r="AL101" s="32">
        <f t="shared" si="10"/>
        <v>118.96</v>
      </c>
      <c r="AM101" s="32">
        <f t="shared" si="11"/>
        <v>1187.92</v>
      </c>
      <c r="AN101" s="32">
        <f t="shared" si="12"/>
        <v>1321.56</v>
      </c>
      <c r="AO101" s="34">
        <f t="shared" si="13"/>
        <v>0.83414593140551463</v>
      </c>
      <c r="AP101" s="34">
        <f t="shared" si="14"/>
        <v>0.89887708465752603</v>
      </c>
      <c r="AQ101" s="33">
        <f t="shared" si="15"/>
        <v>1268.52</v>
      </c>
      <c r="AR101" s="37">
        <f t="shared" si="16"/>
        <v>218.19</v>
      </c>
      <c r="AS101" s="37">
        <f t="shared" si="17"/>
        <v>2509.48</v>
      </c>
    </row>
    <row r="102" spans="1:45" x14ac:dyDescent="0.25">
      <c r="A102" s="26" t="s">
        <v>290</v>
      </c>
      <c r="B102" t="s">
        <v>291</v>
      </c>
      <c r="C102" s="25">
        <v>0</v>
      </c>
      <c r="D102" s="25">
        <v>0</v>
      </c>
      <c r="E102" s="25">
        <v>0</v>
      </c>
      <c r="F102" s="25">
        <v>0</v>
      </c>
      <c r="G102" s="25">
        <v>9.9700000000000006</v>
      </c>
      <c r="H102" s="25">
        <v>4.96</v>
      </c>
      <c r="I102" s="25">
        <v>159.71</v>
      </c>
      <c r="J102" s="25">
        <v>85.04</v>
      </c>
      <c r="K102" s="25">
        <v>30.07</v>
      </c>
      <c r="L102" s="25">
        <v>29.96</v>
      </c>
      <c r="M102" s="25">
        <v>674.6</v>
      </c>
      <c r="N102" s="25">
        <v>400.44</v>
      </c>
      <c r="O102" s="25">
        <v>45.21</v>
      </c>
      <c r="P102" s="25">
        <v>35.08</v>
      </c>
      <c r="Q102" s="25">
        <v>525.4</v>
      </c>
      <c r="R102" s="25">
        <v>692.22</v>
      </c>
      <c r="S102" s="25">
        <v>5.01</v>
      </c>
      <c r="T102" s="25">
        <v>74.62</v>
      </c>
      <c r="U102" s="25">
        <v>140.99</v>
      </c>
      <c r="V102" s="25">
        <v>661.5</v>
      </c>
      <c r="W102" s="25">
        <v>84.94</v>
      </c>
      <c r="X102" s="25">
        <v>15.37</v>
      </c>
      <c r="Y102" s="25">
        <v>365.98</v>
      </c>
      <c r="Z102" s="25">
        <v>80.069999999999993</v>
      </c>
      <c r="AA102" s="25">
        <v>40.51</v>
      </c>
      <c r="AB102" s="25">
        <v>45.63</v>
      </c>
      <c r="AC102" s="25">
        <v>587.36</v>
      </c>
      <c r="AD102" s="25">
        <v>825.27</v>
      </c>
      <c r="AE102" s="25">
        <v>65.11</v>
      </c>
      <c r="AF102" s="25">
        <v>39.76</v>
      </c>
      <c r="AG102" s="25">
        <v>1133.95</v>
      </c>
      <c r="AH102" s="25">
        <v>1325.4</v>
      </c>
      <c r="AI102" s="25" t="s">
        <v>88</v>
      </c>
      <c r="AJ102" s="25" t="s">
        <v>89</v>
      </c>
      <c r="AK102" s="32">
        <f t="shared" si="9"/>
        <v>280.82</v>
      </c>
      <c r="AL102" s="32">
        <f t="shared" si="10"/>
        <v>245.38</v>
      </c>
      <c r="AM102" s="32">
        <f t="shared" si="11"/>
        <v>3587.99</v>
      </c>
      <c r="AN102" s="32">
        <f t="shared" si="12"/>
        <v>4069.94</v>
      </c>
      <c r="AO102" s="34">
        <f t="shared" si="13"/>
        <v>1.1444290488222348</v>
      </c>
      <c r="AP102" s="34">
        <f t="shared" si="14"/>
        <v>0.88158302087991458</v>
      </c>
      <c r="AQ102" s="33">
        <f t="shared" si="15"/>
        <v>4121.1399999999994</v>
      </c>
      <c r="AR102" s="37">
        <f t="shared" si="16"/>
        <v>526.20000000000005</v>
      </c>
      <c r="AS102" s="37">
        <f t="shared" si="17"/>
        <v>7657.93</v>
      </c>
    </row>
    <row r="103" spans="1:45" x14ac:dyDescent="0.25">
      <c r="A103" s="26" t="s">
        <v>292</v>
      </c>
      <c r="B103" t="s">
        <v>293</v>
      </c>
      <c r="C103" s="25">
        <v>0</v>
      </c>
      <c r="D103" s="25">
        <v>0</v>
      </c>
      <c r="E103" s="25">
        <v>5</v>
      </c>
      <c r="F103" s="25">
        <v>5</v>
      </c>
      <c r="G103" s="25">
        <v>0</v>
      </c>
      <c r="H103" s="25">
        <v>0</v>
      </c>
      <c r="I103" s="25">
        <v>0</v>
      </c>
      <c r="J103" s="25">
        <v>0</v>
      </c>
      <c r="K103" s="25">
        <v>0</v>
      </c>
      <c r="L103" s="25">
        <v>0</v>
      </c>
      <c r="M103" s="25">
        <v>0</v>
      </c>
      <c r="N103" s="25">
        <v>0</v>
      </c>
      <c r="O103" s="25">
        <v>0</v>
      </c>
      <c r="P103" s="25">
        <v>0</v>
      </c>
      <c r="Q103" s="25">
        <v>25</v>
      </c>
      <c r="R103" s="25">
        <v>20</v>
      </c>
      <c r="S103" s="25">
        <v>0</v>
      </c>
      <c r="T103" s="25">
        <v>0</v>
      </c>
      <c r="U103" s="25">
        <v>10</v>
      </c>
      <c r="V103" s="25">
        <v>25</v>
      </c>
      <c r="W103" s="25">
        <v>0</v>
      </c>
      <c r="X103" s="25">
        <v>0</v>
      </c>
      <c r="Y103" s="25">
        <v>30</v>
      </c>
      <c r="Z103" s="25">
        <v>10</v>
      </c>
      <c r="AA103" s="25">
        <v>0</v>
      </c>
      <c r="AB103" s="25">
        <v>0</v>
      </c>
      <c r="AC103" s="25">
        <v>25</v>
      </c>
      <c r="AD103" s="25">
        <v>10</v>
      </c>
      <c r="AE103" s="25">
        <v>0</v>
      </c>
      <c r="AF103" s="25">
        <v>0</v>
      </c>
      <c r="AG103" s="25">
        <v>25</v>
      </c>
      <c r="AH103" s="25">
        <v>35</v>
      </c>
      <c r="AI103" s="25" t="s">
        <v>88</v>
      </c>
      <c r="AJ103" s="25" t="s">
        <v>89</v>
      </c>
      <c r="AK103" s="32">
        <f t="shared" si="9"/>
        <v>0</v>
      </c>
      <c r="AL103" s="32">
        <f t="shared" si="10"/>
        <v>0</v>
      </c>
      <c r="AM103" s="32">
        <f t="shared" si="11"/>
        <v>120</v>
      </c>
      <c r="AN103" s="32">
        <f t="shared" si="12"/>
        <v>105</v>
      </c>
      <c r="AO103" s="34">
        <f t="shared" si="13"/>
        <v>0</v>
      </c>
      <c r="AP103" s="34">
        <f t="shared" si="14"/>
        <v>1.1428571428571428</v>
      </c>
      <c r="AQ103" s="33">
        <f t="shared" si="15"/>
        <v>130</v>
      </c>
      <c r="AR103" s="37">
        <f t="shared" si="16"/>
        <v>0</v>
      </c>
      <c r="AS103" s="37">
        <f t="shared" si="17"/>
        <v>225</v>
      </c>
    </row>
    <row r="104" spans="1:45" x14ac:dyDescent="0.25">
      <c r="A104" s="26" t="s">
        <v>294</v>
      </c>
      <c r="B104" t="s">
        <v>295</v>
      </c>
      <c r="C104" s="25">
        <v>0</v>
      </c>
      <c r="D104" s="25">
        <v>0</v>
      </c>
      <c r="E104" s="25">
        <v>0</v>
      </c>
      <c r="F104" s="25">
        <v>0</v>
      </c>
      <c r="G104" s="25">
        <v>5</v>
      </c>
      <c r="H104" s="25">
        <v>0</v>
      </c>
      <c r="I104" s="25">
        <v>30</v>
      </c>
      <c r="J104" s="25">
        <v>10</v>
      </c>
      <c r="K104" s="25">
        <v>20</v>
      </c>
      <c r="L104" s="25">
        <v>25</v>
      </c>
      <c r="M104" s="25">
        <v>335</v>
      </c>
      <c r="N104" s="25">
        <v>225</v>
      </c>
      <c r="O104" s="25">
        <v>25</v>
      </c>
      <c r="P104" s="25">
        <v>45</v>
      </c>
      <c r="Q104" s="25">
        <v>385</v>
      </c>
      <c r="R104" s="25">
        <v>420</v>
      </c>
      <c r="S104" s="25">
        <v>35</v>
      </c>
      <c r="T104" s="25">
        <v>55</v>
      </c>
      <c r="U104" s="25">
        <v>160</v>
      </c>
      <c r="V104" s="25">
        <v>420</v>
      </c>
      <c r="W104" s="25">
        <v>40</v>
      </c>
      <c r="X104" s="25">
        <v>10</v>
      </c>
      <c r="Y104" s="25">
        <v>205</v>
      </c>
      <c r="Z104" s="25">
        <v>60</v>
      </c>
      <c r="AA104" s="25">
        <v>45</v>
      </c>
      <c r="AB104" s="25">
        <v>85</v>
      </c>
      <c r="AC104" s="25">
        <v>550</v>
      </c>
      <c r="AD104" s="25">
        <v>560</v>
      </c>
      <c r="AE104" s="25">
        <v>45</v>
      </c>
      <c r="AF104" s="25">
        <v>50</v>
      </c>
      <c r="AG104" s="25">
        <v>725</v>
      </c>
      <c r="AH104" s="25">
        <v>825</v>
      </c>
      <c r="AI104" s="25" t="s">
        <v>88</v>
      </c>
      <c r="AJ104" s="25" t="s">
        <v>89</v>
      </c>
      <c r="AK104" s="32">
        <f t="shared" si="9"/>
        <v>215</v>
      </c>
      <c r="AL104" s="32">
        <f t="shared" si="10"/>
        <v>270</v>
      </c>
      <c r="AM104" s="32">
        <f t="shared" si="11"/>
        <v>2390</v>
      </c>
      <c r="AN104" s="32">
        <f t="shared" si="12"/>
        <v>2520</v>
      </c>
      <c r="AO104" s="34">
        <f t="shared" si="13"/>
        <v>0.79629629629629628</v>
      </c>
      <c r="AP104" s="34">
        <f t="shared" si="14"/>
        <v>0.94841269841269837</v>
      </c>
      <c r="AQ104" s="33">
        <f t="shared" si="15"/>
        <v>2510</v>
      </c>
      <c r="AR104" s="37">
        <f t="shared" si="16"/>
        <v>485</v>
      </c>
      <c r="AS104" s="37">
        <f t="shared" si="17"/>
        <v>4910</v>
      </c>
    </row>
    <row r="105" spans="1:45" x14ac:dyDescent="0.25">
      <c r="A105" s="26" t="s">
        <v>296</v>
      </c>
      <c r="B105" t="s">
        <v>297</v>
      </c>
      <c r="C105" s="25">
        <v>1.02</v>
      </c>
      <c r="D105" s="25">
        <v>0</v>
      </c>
      <c r="E105" s="25">
        <v>3.2</v>
      </c>
      <c r="F105" s="25">
        <v>1.04</v>
      </c>
      <c r="G105" s="25">
        <v>227.75</v>
      </c>
      <c r="H105" s="25">
        <v>70.69</v>
      </c>
      <c r="I105" s="25">
        <v>301.74</v>
      </c>
      <c r="J105" s="25">
        <v>110.41</v>
      </c>
      <c r="K105" s="25">
        <v>1043.56</v>
      </c>
      <c r="L105" s="25">
        <v>662.76</v>
      </c>
      <c r="M105" s="25">
        <v>4574.6099999999997</v>
      </c>
      <c r="N105" s="25">
        <v>2728.54</v>
      </c>
      <c r="O105" s="25">
        <v>659.59</v>
      </c>
      <c r="P105" s="25">
        <v>610.1</v>
      </c>
      <c r="Q105" s="25">
        <v>2501.3200000000002</v>
      </c>
      <c r="R105" s="25">
        <v>3227.86</v>
      </c>
      <c r="S105" s="25">
        <v>637.21</v>
      </c>
      <c r="T105" s="25">
        <v>1539.33</v>
      </c>
      <c r="U105" s="25">
        <v>1479.17</v>
      </c>
      <c r="V105" s="25">
        <v>3161.49</v>
      </c>
      <c r="W105" s="25">
        <v>1050.53</v>
      </c>
      <c r="X105" s="25">
        <v>267.58999999999997</v>
      </c>
      <c r="Y105" s="25">
        <v>1564.27</v>
      </c>
      <c r="Z105" s="25">
        <v>314.06</v>
      </c>
      <c r="AA105" s="25">
        <v>941.3</v>
      </c>
      <c r="AB105" s="25">
        <v>678.87</v>
      </c>
      <c r="AC105" s="25">
        <v>2414.4899999999998</v>
      </c>
      <c r="AD105" s="25">
        <v>3078.17</v>
      </c>
      <c r="AE105" s="25">
        <v>783.19</v>
      </c>
      <c r="AF105" s="25">
        <v>1624.35</v>
      </c>
      <c r="AG105" s="25">
        <v>7040.44</v>
      </c>
      <c r="AH105" s="25">
        <v>7527.86</v>
      </c>
      <c r="AI105" s="25" t="s">
        <v>88</v>
      </c>
      <c r="AJ105" s="25" t="s">
        <v>89</v>
      </c>
      <c r="AK105" s="32">
        <f t="shared" si="9"/>
        <v>5344.15</v>
      </c>
      <c r="AL105" s="32">
        <f t="shared" si="10"/>
        <v>5453.6900000000005</v>
      </c>
      <c r="AM105" s="32">
        <f t="shared" si="11"/>
        <v>19879.239999999998</v>
      </c>
      <c r="AN105" s="32">
        <f t="shared" si="12"/>
        <v>20149.43</v>
      </c>
      <c r="AO105" s="34">
        <f t="shared" si="13"/>
        <v>0.97991451659335227</v>
      </c>
      <c r="AP105" s="34">
        <f t="shared" si="14"/>
        <v>0.98659068767702107</v>
      </c>
      <c r="AQ105" s="33">
        <f t="shared" si="15"/>
        <v>26737.839999999993</v>
      </c>
      <c r="AR105" s="37">
        <f t="shared" si="16"/>
        <v>10797.84</v>
      </c>
      <c r="AS105" s="37">
        <f t="shared" si="17"/>
        <v>40028.67</v>
      </c>
    </row>
    <row r="106" spans="1:45" x14ac:dyDescent="0.25">
      <c r="A106" s="26" t="s">
        <v>298</v>
      </c>
      <c r="B106" t="s">
        <v>299</v>
      </c>
      <c r="C106" s="25">
        <v>0</v>
      </c>
      <c r="D106" s="25">
        <v>0</v>
      </c>
      <c r="E106" s="25">
        <v>0</v>
      </c>
      <c r="F106" s="25">
        <v>0</v>
      </c>
      <c r="G106" s="25">
        <v>0</v>
      </c>
      <c r="H106" s="25">
        <v>0</v>
      </c>
      <c r="I106" s="25">
        <v>0</v>
      </c>
      <c r="J106" s="25">
        <v>9.89</v>
      </c>
      <c r="K106" s="25">
        <v>4.95</v>
      </c>
      <c r="L106" s="25">
        <v>0</v>
      </c>
      <c r="M106" s="25">
        <v>9.89</v>
      </c>
      <c r="N106" s="25">
        <v>9.89</v>
      </c>
      <c r="O106" s="25">
        <v>0</v>
      </c>
      <c r="P106" s="25">
        <v>0</v>
      </c>
      <c r="Q106" s="25">
        <v>24.73</v>
      </c>
      <c r="R106" s="25">
        <v>44.51</v>
      </c>
      <c r="S106" s="25">
        <v>0</v>
      </c>
      <c r="T106" s="25">
        <v>4.95</v>
      </c>
      <c r="U106" s="25">
        <v>9.89</v>
      </c>
      <c r="V106" s="25">
        <v>14.84</v>
      </c>
      <c r="W106" s="25">
        <v>0</v>
      </c>
      <c r="X106" s="25">
        <v>0</v>
      </c>
      <c r="Y106" s="25">
        <v>14.84</v>
      </c>
      <c r="Z106" s="25">
        <v>0</v>
      </c>
      <c r="AA106" s="25">
        <v>0</v>
      </c>
      <c r="AB106" s="25">
        <v>0</v>
      </c>
      <c r="AC106" s="25">
        <v>29.68</v>
      </c>
      <c r="AD106" s="25">
        <v>34.619999999999997</v>
      </c>
      <c r="AE106" s="25">
        <v>4.95</v>
      </c>
      <c r="AF106" s="25">
        <v>0</v>
      </c>
      <c r="AG106" s="25">
        <v>19.78</v>
      </c>
      <c r="AH106" s="25">
        <v>39.57</v>
      </c>
      <c r="AI106" s="25" t="s">
        <v>94</v>
      </c>
      <c r="AJ106" s="25" t="s">
        <v>89</v>
      </c>
      <c r="AK106" s="32">
        <f t="shared" si="9"/>
        <v>9.9</v>
      </c>
      <c r="AL106" s="32">
        <f t="shared" si="10"/>
        <v>4.95</v>
      </c>
      <c r="AM106" s="32">
        <f t="shared" si="11"/>
        <v>108.81</v>
      </c>
      <c r="AN106" s="32">
        <f t="shared" si="12"/>
        <v>153.32</v>
      </c>
      <c r="AO106" s="34">
        <f t="shared" si="13"/>
        <v>2</v>
      </c>
      <c r="AP106" s="34">
        <f t="shared" si="14"/>
        <v>0.70969214714322992</v>
      </c>
      <c r="AQ106" s="33">
        <f t="shared" si="15"/>
        <v>148.38000000000002</v>
      </c>
      <c r="AR106" s="37">
        <f t="shared" si="16"/>
        <v>14.850000000000001</v>
      </c>
      <c r="AS106" s="37">
        <f t="shared" si="17"/>
        <v>262.13</v>
      </c>
    </row>
    <row r="107" spans="1:45" x14ac:dyDescent="0.25">
      <c r="A107" s="26" t="s">
        <v>300</v>
      </c>
      <c r="B107" t="s">
        <v>301</v>
      </c>
      <c r="C107" s="25">
        <v>0</v>
      </c>
      <c r="D107" s="25">
        <v>0</v>
      </c>
      <c r="E107" s="25">
        <v>3.59</v>
      </c>
      <c r="F107" s="25">
        <v>0</v>
      </c>
      <c r="G107" s="25">
        <v>26.46</v>
      </c>
      <c r="H107" s="25">
        <v>19.260000000000002</v>
      </c>
      <c r="I107" s="25">
        <v>293.63</v>
      </c>
      <c r="J107" s="25">
        <v>83.54</v>
      </c>
      <c r="K107" s="25">
        <v>85.11</v>
      </c>
      <c r="L107" s="25">
        <v>49.69</v>
      </c>
      <c r="M107" s="25">
        <v>1039.04</v>
      </c>
      <c r="N107" s="25">
        <v>759.69</v>
      </c>
      <c r="O107" s="25">
        <v>96.93</v>
      </c>
      <c r="P107" s="25">
        <v>91.67</v>
      </c>
      <c r="Q107" s="25">
        <v>796.92</v>
      </c>
      <c r="R107" s="25">
        <v>1181.52</v>
      </c>
      <c r="S107" s="25">
        <v>61.47</v>
      </c>
      <c r="T107" s="25">
        <v>186.33</v>
      </c>
      <c r="U107" s="25">
        <v>419.85</v>
      </c>
      <c r="V107" s="25">
        <v>1081.72</v>
      </c>
      <c r="W107" s="25">
        <v>161.13999999999999</v>
      </c>
      <c r="X107" s="25">
        <v>42.8</v>
      </c>
      <c r="Y107" s="25">
        <v>538.83000000000004</v>
      </c>
      <c r="Z107" s="25">
        <v>115.8</v>
      </c>
      <c r="AA107" s="25">
        <v>81.12</v>
      </c>
      <c r="AB107" s="25">
        <v>101.09</v>
      </c>
      <c r="AC107" s="25">
        <v>1075.03</v>
      </c>
      <c r="AD107" s="25">
        <v>1297.4100000000001</v>
      </c>
      <c r="AE107" s="25">
        <v>104.73</v>
      </c>
      <c r="AF107" s="25">
        <v>125.31</v>
      </c>
      <c r="AG107" s="25">
        <v>2186.34</v>
      </c>
      <c r="AH107" s="25">
        <v>2199.0100000000002</v>
      </c>
      <c r="AI107" s="25" t="s">
        <v>94</v>
      </c>
      <c r="AJ107" s="25" t="s">
        <v>89</v>
      </c>
      <c r="AK107" s="32">
        <f t="shared" si="9"/>
        <v>616.96</v>
      </c>
      <c r="AL107" s="32">
        <f t="shared" si="10"/>
        <v>616.15000000000009</v>
      </c>
      <c r="AM107" s="32">
        <f t="shared" si="11"/>
        <v>6353.23</v>
      </c>
      <c r="AN107" s="32">
        <f t="shared" si="12"/>
        <v>6718.6900000000005</v>
      </c>
      <c r="AO107" s="34">
        <f t="shared" si="13"/>
        <v>1.0013146149476588</v>
      </c>
      <c r="AP107" s="34">
        <f t="shared" si="14"/>
        <v>0.94560546773254894</v>
      </c>
      <c r="AQ107" s="33">
        <f t="shared" si="15"/>
        <v>7134.9900000000016</v>
      </c>
      <c r="AR107" s="37">
        <f t="shared" si="16"/>
        <v>1233.1100000000001</v>
      </c>
      <c r="AS107" s="37">
        <f t="shared" si="17"/>
        <v>13071.92</v>
      </c>
    </row>
    <row r="108" spans="1:45" x14ac:dyDescent="0.25">
      <c r="A108" s="26" t="s">
        <v>302</v>
      </c>
      <c r="B108" t="s">
        <v>303</v>
      </c>
      <c r="C108" s="25">
        <v>0</v>
      </c>
      <c r="D108" s="25">
        <v>0</v>
      </c>
      <c r="E108" s="25">
        <v>20.16</v>
      </c>
      <c r="F108" s="25">
        <v>15.19</v>
      </c>
      <c r="G108" s="25">
        <v>5.0599999999999996</v>
      </c>
      <c r="H108" s="25">
        <v>0</v>
      </c>
      <c r="I108" s="25">
        <v>91.14</v>
      </c>
      <c r="J108" s="25">
        <v>20.25</v>
      </c>
      <c r="K108" s="25">
        <v>5.0599999999999996</v>
      </c>
      <c r="L108" s="25">
        <v>0</v>
      </c>
      <c r="M108" s="25">
        <v>136.53</v>
      </c>
      <c r="N108" s="25">
        <v>91.14</v>
      </c>
      <c r="O108" s="25">
        <v>10.130000000000001</v>
      </c>
      <c r="P108" s="25">
        <v>20.25</v>
      </c>
      <c r="Q108" s="25">
        <v>187.07</v>
      </c>
      <c r="R108" s="25">
        <v>217.36</v>
      </c>
      <c r="S108" s="25">
        <v>10.130000000000001</v>
      </c>
      <c r="T108" s="25">
        <v>25.23</v>
      </c>
      <c r="U108" s="25">
        <v>119.7</v>
      </c>
      <c r="V108" s="25">
        <v>353.98</v>
      </c>
      <c r="W108" s="25">
        <v>45.39</v>
      </c>
      <c r="X108" s="25">
        <v>20.25</v>
      </c>
      <c r="Y108" s="25">
        <v>197.38</v>
      </c>
      <c r="Z108" s="25">
        <v>25.13</v>
      </c>
      <c r="AA108" s="25">
        <v>30.38</v>
      </c>
      <c r="AB108" s="25">
        <v>10.130000000000001</v>
      </c>
      <c r="AC108" s="25">
        <v>357.99</v>
      </c>
      <c r="AD108" s="25">
        <v>377.89</v>
      </c>
      <c r="AE108" s="25">
        <v>0</v>
      </c>
      <c r="AF108" s="25">
        <v>25.32</v>
      </c>
      <c r="AG108" s="25">
        <v>449.92</v>
      </c>
      <c r="AH108" s="25">
        <v>475.14</v>
      </c>
      <c r="AI108" s="25" t="s">
        <v>88</v>
      </c>
      <c r="AJ108" s="25" t="s">
        <v>89</v>
      </c>
      <c r="AK108" s="32">
        <f t="shared" si="9"/>
        <v>106.15</v>
      </c>
      <c r="AL108" s="32">
        <f t="shared" si="10"/>
        <v>101.18</v>
      </c>
      <c r="AM108" s="32">
        <f t="shared" si="11"/>
        <v>1559.89</v>
      </c>
      <c r="AN108" s="32">
        <f t="shared" si="12"/>
        <v>1576.08</v>
      </c>
      <c r="AO108" s="34">
        <f t="shared" si="13"/>
        <v>1.0491203795216446</v>
      </c>
      <c r="AP108" s="34">
        <f t="shared" si="14"/>
        <v>0.9897276787980307</v>
      </c>
      <c r="AQ108" s="33">
        <f t="shared" si="15"/>
        <v>1616.5300000000002</v>
      </c>
      <c r="AR108" s="37">
        <f t="shared" si="16"/>
        <v>207.33</v>
      </c>
      <c r="AS108" s="37">
        <f t="shared" si="17"/>
        <v>3135.9700000000003</v>
      </c>
    </row>
    <row r="109" spans="1:45" x14ac:dyDescent="0.25">
      <c r="A109" s="26" t="s">
        <v>304</v>
      </c>
      <c r="B109" t="s">
        <v>305</v>
      </c>
      <c r="C109" s="25">
        <v>0</v>
      </c>
      <c r="D109" s="25">
        <v>0</v>
      </c>
      <c r="E109" s="25">
        <v>0</v>
      </c>
      <c r="F109" s="25">
        <v>5.1100000000000003</v>
      </c>
      <c r="G109" s="25">
        <v>0</v>
      </c>
      <c r="H109" s="25">
        <v>0</v>
      </c>
      <c r="I109" s="25">
        <v>10.33</v>
      </c>
      <c r="J109" s="25">
        <v>0</v>
      </c>
      <c r="K109" s="25">
        <v>5.32</v>
      </c>
      <c r="L109" s="25">
        <v>0</v>
      </c>
      <c r="M109" s="25">
        <v>30.39</v>
      </c>
      <c r="N109" s="25">
        <v>10.029999999999999</v>
      </c>
      <c r="O109" s="25">
        <v>0</v>
      </c>
      <c r="P109" s="25">
        <v>5.1100000000000003</v>
      </c>
      <c r="Q109" s="25">
        <v>46.13</v>
      </c>
      <c r="R109" s="25">
        <v>51.45</v>
      </c>
      <c r="S109" s="25">
        <v>0</v>
      </c>
      <c r="T109" s="25">
        <v>5.32</v>
      </c>
      <c r="U109" s="25">
        <v>15.34</v>
      </c>
      <c r="V109" s="25">
        <v>93.27</v>
      </c>
      <c r="W109" s="25">
        <v>16.059999999999999</v>
      </c>
      <c r="X109" s="25">
        <v>0</v>
      </c>
      <c r="Y109" s="25">
        <v>20.76</v>
      </c>
      <c r="Z109" s="25">
        <v>0</v>
      </c>
      <c r="AA109" s="25">
        <v>0</v>
      </c>
      <c r="AB109" s="25">
        <v>4.92</v>
      </c>
      <c r="AC109" s="25">
        <v>45.33</v>
      </c>
      <c r="AD109" s="25">
        <v>39.729999999999997</v>
      </c>
      <c r="AE109" s="25">
        <v>0</v>
      </c>
      <c r="AF109" s="25">
        <v>0</v>
      </c>
      <c r="AG109" s="25">
        <v>94.39</v>
      </c>
      <c r="AH109" s="25">
        <v>147.03</v>
      </c>
      <c r="AI109" s="25" t="s">
        <v>88</v>
      </c>
      <c r="AJ109" s="25" t="s">
        <v>89</v>
      </c>
      <c r="AK109" s="32">
        <f t="shared" si="9"/>
        <v>21.38</v>
      </c>
      <c r="AL109" s="32">
        <f t="shared" si="10"/>
        <v>15.35</v>
      </c>
      <c r="AM109" s="32">
        <f t="shared" si="11"/>
        <v>262.67</v>
      </c>
      <c r="AN109" s="32">
        <f t="shared" si="12"/>
        <v>346.62</v>
      </c>
      <c r="AO109" s="34">
        <f t="shared" si="13"/>
        <v>1.3928338762214982</v>
      </c>
      <c r="AP109" s="34">
        <f t="shared" si="14"/>
        <v>0.75780393514511568</v>
      </c>
      <c r="AQ109" s="33">
        <f t="shared" si="15"/>
        <v>314.62</v>
      </c>
      <c r="AR109" s="37">
        <f t="shared" si="16"/>
        <v>36.729999999999997</v>
      </c>
      <c r="AS109" s="37">
        <f t="shared" si="17"/>
        <v>609.29</v>
      </c>
    </row>
    <row r="110" spans="1:45" x14ac:dyDescent="0.25">
      <c r="A110" s="26" t="s">
        <v>306</v>
      </c>
      <c r="B110" t="s">
        <v>307</v>
      </c>
      <c r="C110" s="25">
        <v>0</v>
      </c>
      <c r="D110" s="25">
        <v>0</v>
      </c>
      <c r="E110" s="25">
        <v>0</v>
      </c>
      <c r="F110" s="25">
        <v>0</v>
      </c>
      <c r="G110" s="25">
        <v>0</v>
      </c>
      <c r="H110" s="25">
        <v>0</v>
      </c>
      <c r="I110" s="25">
        <v>5.07</v>
      </c>
      <c r="J110" s="25">
        <v>0</v>
      </c>
      <c r="K110" s="25">
        <v>0</v>
      </c>
      <c r="L110" s="25">
        <v>0</v>
      </c>
      <c r="M110" s="25">
        <v>5.07</v>
      </c>
      <c r="N110" s="25">
        <v>5.07</v>
      </c>
      <c r="O110" s="25">
        <v>5.07</v>
      </c>
      <c r="P110" s="25">
        <v>0</v>
      </c>
      <c r="Q110" s="25">
        <v>15.22</v>
      </c>
      <c r="R110" s="25">
        <v>25.36</v>
      </c>
      <c r="S110" s="25">
        <v>0</v>
      </c>
      <c r="T110" s="25">
        <v>5.07</v>
      </c>
      <c r="U110" s="25">
        <v>5.07</v>
      </c>
      <c r="V110" s="25">
        <v>15.22</v>
      </c>
      <c r="W110" s="25">
        <v>0</v>
      </c>
      <c r="X110" s="25">
        <v>0</v>
      </c>
      <c r="Y110" s="25">
        <v>0</v>
      </c>
      <c r="Z110" s="25">
        <v>5.07</v>
      </c>
      <c r="AA110" s="25">
        <v>0</v>
      </c>
      <c r="AB110" s="25">
        <v>0</v>
      </c>
      <c r="AC110" s="25">
        <v>20.29</v>
      </c>
      <c r="AD110" s="25">
        <v>20.29</v>
      </c>
      <c r="AE110" s="25">
        <v>0</v>
      </c>
      <c r="AF110" s="25">
        <v>0</v>
      </c>
      <c r="AG110" s="25">
        <v>35.5</v>
      </c>
      <c r="AH110" s="25">
        <v>40.58</v>
      </c>
      <c r="AI110" s="25" t="s">
        <v>88</v>
      </c>
      <c r="AJ110" s="25" t="s">
        <v>89</v>
      </c>
      <c r="AK110" s="32">
        <f t="shared" si="9"/>
        <v>5.07</v>
      </c>
      <c r="AL110" s="32">
        <f t="shared" si="10"/>
        <v>5.07</v>
      </c>
      <c r="AM110" s="32">
        <f t="shared" si="11"/>
        <v>86.22</v>
      </c>
      <c r="AN110" s="32">
        <f t="shared" si="12"/>
        <v>111.58999999999999</v>
      </c>
      <c r="AO110" s="34">
        <f t="shared" si="13"/>
        <v>1</v>
      </c>
      <c r="AP110" s="34">
        <f t="shared" si="14"/>
        <v>0.7726498790214178</v>
      </c>
      <c r="AQ110" s="33">
        <f t="shared" si="15"/>
        <v>91.289999999999992</v>
      </c>
      <c r="AR110" s="37">
        <f t="shared" si="16"/>
        <v>10.14</v>
      </c>
      <c r="AS110" s="37">
        <f t="shared" si="17"/>
        <v>197.81</v>
      </c>
    </row>
    <row r="111" spans="1:45" x14ac:dyDescent="0.25">
      <c r="A111" s="26" t="s">
        <v>308</v>
      </c>
      <c r="B111" t="s">
        <v>309</v>
      </c>
      <c r="C111" s="25">
        <v>0</v>
      </c>
      <c r="D111" s="25">
        <v>0</v>
      </c>
      <c r="E111" s="25">
        <v>5</v>
      </c>
      <c r="F111" s="25">
        <v>5</v>
      </c>
      <c r="G111" s="25">
        <v>25</v>
      </c>
      <c r="H111" s="25">
        <v>0</v>
      </c>
      <c r="I111" s="25">
        <v>90</v>
      </c>
      <c r="J111" s="25">
        <v>70</v>
      </c>
      <c r="K111" s="25">
        <v>30</v>
      </c>
      <c r="L111" s="25">
        <v>25</v>
      </c>
      <c r="M111" s="25">
        <v>205</v>
      </c>
      <c r="N111" s="25">
        <v>130</v>
      </c>
      <c r="O111" s="25">
        <v>35</v>
      </c>
      <c r="P111" s="25">
        <v>5</v>
      </c>
      <c r="Q111" s="25">
        <v>195</v>
      </c>
      <c r="R111" s="25">
        <v>300</v>
      </c>
      <c r="S111" s="25">
        <v>0</v>
      </c>
      <c r="T111" s="25">
        <v>25</v>
      </c>
      <c r="U111" s="25">
        <v>175</v>
      </c>
      <c r="V111" s="25">
        <v>445</v>
      </c>
      <c r="W111" s="25">
        <v>25</v>
      </c>
      <c r="X111" s="25">
        <v>20</v>
      </c>
      <c r="Y111" s="25">
        <v>210</v>
      </c>
      <c r="Z111" s="25">
        <v>35</v>
      </c>
      <c r="AA111" s="25">
        <v>20</v>
      </c>
      <c r="AB111" s="25">
        <v>35</v>
      </c>
      <c r="AC111" s="25">
        <v>585</v>
      </c>
      <c r="AD111" s="25">
        <v>795</v>
      </c>
      <c r="AE111" s="25">
        <v>30</v>
      </c>
      <c r="AF111" s="25">
        <v>25</v>
      </c>
      <c r="AG111" s="25">
        <v>550</v>
      </c>
      <c r="AH111" s="25">
        <v>535</v>
      </c>
      <c r="AI111" s="25" t="s">
        <v>94</v>
      </c>
      <c r="AJ111" s="25" t="s">
        <v>89</v>
      </c>
      <c r="AK111" s="32">
        <f t="shared" si="9"/>
        <v>165</v>
      </c>
      <c r="AL111" s="32">
        <f t="shared" si="10"/>
        <v>135</v>
      </c>
      <c r="AM111" s="32">
        <f t="shared" si="11"/>
        <v>2015</v>
      </c>
      <c r="AN111" s="32">
        <f t="shared" si="12"/>
        <v>2315</v>
      </c>
      <c r="AO111" s="34">
        <f t="shared" si="13"/>
        <v>1.2222222222222223</v>
      </c>
      <c r="AP111" s="34">
        <f t="shared" si="14"/>
        <v>0.87041036717062636</v>
      </c>
      <c r="AQ111" s="33">
        <f t="shared" si="15"/>
        <v>2055</v>
      </c>
      <c r="AR111" s="37">
        <f t="shared" si="16"/>
        <v>300</v>
      </c>
      <c r="AS111" s="37">
        <f t="shared" si="17"/>
        <v>4330</v>
      </c>
    </row>
    <row r="112" spans="1:45" x14ac:dyDescent="0.25">
      <c r="A112" s="26" t="s">
        <v>310</v>
      </c>
      <c r="B112" t="s">
        <v>311</v>
      </c>
      <c r="C112" s="25">
        <v>0</v>
      </c>
      <c r="D112" s="25">
        <v>0</v>
      </c>
      <c r="E112" s="25">
        <v>4.84</v>
      </c>
      <c r="F112" s="25">
        <v>4.84</v>
      </c>
      <c r="G112" s="25">
        <v>0</v>
      </c>
      <c r="H112" s="25">
        <v>0</v>
      </c>
      <c r="I112" s="25">
        <v>45.09</v>
      </c>
      <c r="J112" s="25">
        <v>19.61</v>
      </c>
      <c r="K112" s="25">
        <v>0</v>
      </c>
      <c r="L112" s="25">
        <v>9.93</v>
      </c>
      <c r="M112" s="25">
        <v>114.46</v>
      </c>
      <c r="N112" s="25">
        <v>50.15</v>
      </c>
      <c r="O112" s="25">
        <v>0</v>
      </c>
      <c r="P112" s="25">
        <v>0</v>
      </c>
      <c r="Q112" s="25">
        <v>73.739999999999995</v>
      </c>
      <c r="R112" s="25">
        <v>75.099999999999994</v>
      </c>
      <c r="S112" s="25">
        <v>0</v>
      </c>
      <c r="T112" s="25">
        <v>15.27</v>
      </c>
      <c r="U112" s="25">
        <v>29.54</v>
      </c>
      <c r="V112" s="25">
        <v>118.12</v>
      </c>
      <c r="W112" s="25">
        <v>0</v>
      </c>
      <c r="X112" s="25">
        <v>0</v>
      </c>
      <c r="Y112" s="25">
        <v>48.57</v>
      </c>
      <c r="Z112" s="25">
        <v>9.81</v>
      </c>
      <c r="AA112" s="25">
        <v>14.54</v>
      </c>
      <c r="AB112" s="25">
        <v>20.12</v>
      </c>
      <c r="AC112" s="25">
        <v>112.21</v>
      </c>
      <c r="AD112" s="25">
        <v>116.58</v>
      </c>
      <c r="AE112" s="25">
        <v>9.57</v>
      </c>
      <c r="AF112" s="25">
        <v>5.09</v>
      </c>
      <c r="AG112" s="25">
        <v>155.26</v>
      </c>
      <c r="AH112" s="25">
        <v>209.43</v>
      </c>
      <c r="AI112" s="25" t="s">
        <v>94</v>
      </c>
      <c r="AJ112" s="25" t="s">
        <v>89</v>
      </c>
      <c r="AK112" s="32">
        <f t="shared" si="9"/>
        <v>24.11</v>
      </c>
      <c r="AL112" s="32">
        <f t="shared" si="10"/>
        <v>50.41</v>
      </c>
      <c r="AM112" s="32">
        <f t="shared" si="11"/>
        <v>583.71</v>
      </c>
      <c r="AN112" s="32">
        <f t="shared" si="12"/>
        <v>603.64</v>
      </c>
      <c r="AO112" s="34">
        <f t="shared" si="13"/>
        <v>0.47827811942074988</v>
      </c>
      <c r="AP112" s="34">
        <f t="shared" si="14"/>
        <v>0.96698363262871923</v>
      </c>
      <c r="AQ112" s="33">
        <f t="shared" si="15"/>
        <v>619.07000000000005</v>
      </c>
      <c r="AR112" s="37">
        <f t="shared" si="16"/>
        <v>74.52</v>
      </c>
      <c r="AS112" s="37">
        <f t="shared" si="17"/>
        <v>1187.3499999999999</v>
      </c>
    </row>
    <row r="113" spans="1:45" x14ac:dyDescent="0.25">
      <c r="A113" s="26" t="s">
        <v>312</v>
      </c>
      <c r="B113" t="s">
        <v>313</v>
      </c>
      <c r="C113" s="25">
        <v>0</v>
      </c>
      <c r="D113" s="25">
        <v>0</v>
      </c>
      <c r="E113" s="25">
        <v>5</v>
      </c>
      <c r="F113" s="25">
        <v>0</v>
      </c>
      <c r="G113" s="25">
        <v>15</v>
      </c>
      <c r="H113" s="25">
        <v>0</v>
      </c>
      <c r="I113" s="25">
        <v>40</v>
      </c>
      <c r="J113" s="25">
        <v>5</v>
      </c>
      <c r="K113" s="25">
        <v>15</v>
      </c>
      <c r="L113" s="25">
        <v>15</v>
      </c>
      <c r="M113" s="25">
        <v>205</v>
      </c>
      <c r="N113" s="25">
        <v>140</v>
      </c>
      <c r="O113" s="25">
        <v>10</v>
      </c>
      <c r="P113" s="25">
        <v>0</v>
      </c>
      <c r="Q113" s="25">
        <v>75</v>
      </c>
      <c r="R113" s="25">
        <v>130</v>
      </c>
      <c r="S113" s="25">
        <v>5</v>
      </c>
      <c r="T113" s="25">
        <v>35</v>
      </c>
      <c r="U113" s="25">
        <v>35</v>
      </c>
      <c r="V113" s="25">
        <v>45</v>
      </c>
      <c r="W113" s="25">
        <v>25</v>
      </c>
      <c r="X113" s="25">
        <v>0</v>
      </c>
      <c r="Y113" s="25">
        <v>15</v>
      </c>
      <c r="Z113" s="25">
        <v>10</v>
      </c>
      <c r="AA113" s="25">
        <v>20</v>
      </c>
      <c r="AB113" s="25">
        <v>15</v>
      </c>
      <c r="AC113" s="25">
        <v>195</v>
      </c>
      <c r="AD113" s="25">
        <v>230</v>
      </c>
      <c r="AE113" s="25">
        <v>5</v>
      </c>
      <c r="AF113" s="25">
        <v>35</v>
      </c>
      <c r="AG113" s="25">
        <v>270</v>
      </c>
      <c r="AH113" s="25">
        <v>345</v>
      </c>
      <c r="AI113" s="25" t="s">
        <v>94</v>
      </c>
      <c r="AJ113" s="25" t="s">
        <v>89</v>
      </c>
      <c r="AK113" s="32">
        <f t="shared" si="9"/>
        <v>95</v>
      </c>
      <c r="AL113" s="32">
        <f t="shared" si="10"/>
        <v>100</v>
      </c>
      <c r="AM113" s="32">
        <f t="shared" si="11"/>
        <v>840</v>
      </c>
      <c r="AN113" s="32">
        <f t="shared" si="12"/>
        <v>905</v>
      </c>
      <c r="AO113" s="34">
        <f t="shared" si="13"/>
        <v>0.95</v>
      </c>
      <c r="AP113" s="34">
        <f t="shared" si="14"/>
        <v>0.92817679558011046</v>
      </c>
      <c r="AQ113" s="33">
        <f t="shared" si="15"/>
        <v>825</v>
      </c>
      <c r="AR113" s="37">
        <f t="shared" si="16"/>
        <v>195</v>
      </c>
      <c r="AS113" s="37">
        <f t="shared" si="17"/>
        <v>1745</v>
      </c>
    </row>
    <row r="114" spans="1:45" x14ac:dyDescent="0.25">
      <c r="A114" s="26" t="s">
        <v>314</v>
      </c>
      <c r="B114" t="s">
        <v>315</v>
      </c>
      <c r="C114" s="25">
        <v>0</v>
      </c>
      <c r="D114" s="25">
        <v>0</v>
      </c>
      <c r="E114" s="25">
        <v>10.23</v>
      </c>
      <c r="F114" s="25">
        <v>10.35</v>
      </c>
      <c r="G114" s="25">
        <v>5.1100000000000003</v>
      </c>
      <c r="H114" s="25">
        <v>5.18</v>
      </c>
      <c r="I114" s="25">
        <v>25.76</v>
      </c>
      <c r="J114" s="25">
        <v>5.18</v>
      </c>
      <c r="K114" s="25">
        <v>0</v>
      </c>
      <c r="L114" s="25">
        <v>0</v>
      </c>
      <c r="M114" s="25">
        <v>15.22</v>
      </c>
      <c r="N114" s="25">
        <v>30.75</v>
      </c>
      <c r="O114" s="25">
        <v>4.87</v>
      </c>
      <c r="P114" s="25">
        <v>0</v>
      </c>
      <c r="Q114" s="25">
        <v>50.89</v>
      </c>
      <c r="R114" s="25">
        <v>81.459999999999994</v>
      </c>
      <c r="S114" s="25">
        <v>0</v>
      </c>
      <c r="T114" s="25">
        <v>5.18</v>
      </c>
      <c r="U114" s="25">
        <v>30.62</v>
      </c>
      <c r="V114" s="25">
        <v>50.95</v>
      </c>
      <c r="W114" s="25">
        <v>10.35</v>
      </c>
      <c r="X114" s="25">
        <v>0</v>
      </c>
      <c r="Y114" s="25">
        <v>61.12</v>
      </c>
      <c r="Z114" s="25">
        <v>10.17</v>
      </c>
      <c r="AA114" s="25">
        <v>0</v>
      </c>
      <c r="AB114" s="25">
        <v>0</v>
      </c>
      <c r="AC114" s="25">
        <v>62.19</v>
      </c>
      <c r="AD114" s="25">
        <v>82.7</v>
      </c>
      <c r="AE114" s="25">
        <v>0</v>
      </c>
      <c r="AF114" s="25">
        <v>0</v>
      </c>
      <c r="AG114" s="25">
        <v>105.96</v>
      </c>
      <c r="AH114" s="25">
        <v>80.209999999999994</v>
      </c>
      <c r="AI114" s="25" t="s">
        <v>94</v>
      </c>
      <c r="AJ114" s="25" t="s">
        <v>89</v>
      </c>
      <c r="AK114" s="32">
        <f t="shared" si="9"/>
        <v>20.329999999999998</v>
      </c>
      <c r="AL114" s="32">
        <f t="shared" si="10"/>
        <v>10.36</v>
      </c>
      <c r="AM114" s="32">
        <f t="shared" si="11"/>
        <v>361.98999999999995</v>
      </c>
      <c r="AN114" s="32">
        <f t="shared" si="12"/>
        <v>351.77</v>
      </c>
      <c r="AO114" s="34">
        <f t="shared" si="13"/>
        <v>1.9623552123552124</v>
      </c>
      <c r="AP114" s="34">
        <f t="shared" si="14"/>
        <v>1.0290530744520567</v>
      </c>
      <c r="AQ114" s="33">
        <f t="shared" si="15"/>
        <v>413.39000000000004</v>
      </c>
      <c r="AR114" s="37">
        <f t="shared" si="16"/>
        <v>30.689999999999998</v>
      </c>
      <c r="AS114" s="37">
        <f t="shared" si="17"/>
        <v>713.76</v>
      </c>
    </row>
    <row r="115" spans="1:45" x14ac:dyDescent="0.25">
      <c r="A115" s="26" t="s">
        <v>316</v>
      </c>
      <c r="B115" t="s">
        <v>317</v>
      </c>
      <c r="C115" s="25">
        <v>0</v>
      </c>
      <c r="D115" s="25">
        <v>0</v>
      </c>
      <c r="E115" s="25">
        <v>5</v>
      </c>
      <c r="F115" s="25">
        <v>0</v>
      </c>
      <c r="G115" s="25">
        <v>0</v>
      </c>
      <c r="H115" s="25">
        <v>0</v>
      </c>
      <c r="I115" s="25">
        <v>0</v>
      </c>
      <c r="J115" s="25">
        <v>0</v>
      </c>
      <c r="K115" s="25">
        <v>0</v>
      </c>
      <c r="L115" s="25">
        <v>0</v>
      </c>
      <c r="M115" s="25">
        <v>0</v>
      </c>
      <c r="N115" s="25">
        <v>5</v>
      </c>
      <c r="O115" s="25">
        <v>5</v>
      </c>
      <c r="P115" s="25">
        <v>0</v>
      </c>
      <c r="Q115" s="25">
        <v>20</v>
      </c>
      <c r="R115" s="25">
        <v>30</v>
      </c>
      <c r="S115" s="25">
        <v>0</v>
      </c>
      <c r="T115" s="25">
        <v>5</v>
      </c>
      <c r="U115" s="25">
        <v>15</v>
      </c>
      <c r="V115" s="25">
        <v>35</v>
      </c>
      <c r="W115" s="25">
        <v>5</v>
      </c>
      <c r="X115" s="25">
        <v>0</v>
      </c>
      <c r="Y115" s="25">
        <v>60</v>
      </c>
      <c r="Z115" s="25">
        <v>5</v>
      </c>
      <c r="AA115" s="25">
        <v>0</v>
      </c>
      <c r="AB115" s="25">
        <v>10</v>
      </c>
      <c r="AC115" s="25">
        <v>40</v>
      </c>
      <c r="AD115" s="25">
        <v>30</v>
      </c>
      <c r="AE115" s="25">
        <v>0</v>
      </c>
      <c r="AF115" s="25">
        <v>0</v>
      </c>
      <c r="AG115" s="25">
        <v>65</v>
      </c>
      <c r="AH115" s="25">
        <v>65</v>
      </c>
      <c r="AI115" s="25" t="s">
        <v>88</v>
      </c>
      <c r="AJ115" s="25" t="s">
        <v>89</v>
      </c>
      <c r="AK115" s="32">
        <f t="shared" si="9"/>
        <v>10</v>
      </c>
      <c r="AL115" s="32">
        <f t="shared" si="10"/>
        <v>15</v>
      </c>
      <c r="AM115" s="32">
        <f t="shared" si="11"/>
        <v>205</v>
      </c>
      <c r="AN115" s="32">
        <f t="shared" si="12"/>
        <v>170</v>
      </c>
      <c r="AO115" s="34">
        <f t="shared" si="13"/>
        <v>0.66666666666666663</v>
      </c>
      <c r="AP115" s="34">
        <f t="shared" si="14"/>
        <v>1.2058823529411764</v>
      </c>
      <c r="AQ115" s="33">
        <f t="shared" si="15"/>
        <v>190</v>
      </c>
      <c r="AR115" s="37">
        <f t="shared" si="16"/>
        <v>25</v>
      </c>
      <c r="AS115" s="37">
        <f t="shared" si="17"/>
        <v>375</v>
      </c>
    </row>
    <row r="116" spans="1:45" x14ac:dyDescent="0.25">
      <c r="A116" s="26" t="s">
        <v>318</v>
      </c>
      <c r="B116" t="s">
        <v>319</v>
      </c>
      <c r="C116" s="25">
        <v>2.5299999999999998</v>
      </c>
      <c r="D116" s="25">
        <v>0</v>
      </c>
      <c r="E116" s="25">
        <v>5.86</v>
      </c>
      <c r="F116" s="25">
        <v>0</v>
      </c>
      <c r="G116" s="25">
        <v>115.8</v>
      </c>
      <c r="H116" s="25">
        <v>37.409999999999997</v>
      </c>
      <c r="I116" s="25">
        <v>263.77</v>
      </c>
      <c r="J116" s="25">
        <v>63.72</v>
      </c>
      <c r="K116" s="25">
        <v>203.77</v>
      </c>
      <c r="L116" s="25">
        <v>171.85</v>
      </c>
      <c r="M116" s="25">
        <v>1449.6</v>
      </c>
      <c r="N116" s="25">
        <v>1015.18</v>
      </c>
      <c r="O116" s="25">
        <v>207.37</v>
      </c>
      <c r="P116" s="25">
        <v>205.43</v>
      </c>
      <c r="Q116" s="25">
        <v>1090.0899999999999</v>
      </c>
      <c r="R116" s="25">
        <v>1460.59</v>
      </c>
      <c r="S116" s="25">
        <v>210.62</v>
      </c>
      <c r="T116" s="25">
        <v>791.14</v>
      </c>
      <c r="U116" s="25">
        <v>610.35</v>
      </c>
      <c r="V116" s="25">
        <v>1568.86</v>
      </c>
      <c r="W116" s="25">
        <v>611.76</v>
      </c>
      <c r="X116" s="25">
        <v>150.1</v>
      </c>
      <c r="Y116" s="25">
        <v>821.34</v>
      </c>
      <c r="Z116" s="25">
        <v>150.09</v>
      </c>
      <c r="AA116" s="25">
        <v>336.85</v>
      </c>
      <c r="AB116" s="25">
        <v>287.01</v>
      </c>
      <c r="AC116" s="25">
        <v>1697.53</v>
      </c>
      <c r="AD116" s="25">
        <v>2259.7399999999998</v>
      </c>
      <c r="AE116" s="25">
        <v>425.62</v>
      </c>
      <c r="AF116" s="25">
        <v>631.03</v>
      </c>
      <c r="AG116" s="25">
        <v>3349.76</v>
      </c>
      <c r="AH116" s="25">
        <v>3579.25</v>
      </c>
      <c r="AI116" s="25" t="s">
        <v>88</v>
      </c>
      <c r="AJ116" s="25" t="s">
        <v>89</v>
      </c>
      <c r="AK116" s="32">
        <f t="shared" si="9"/>
        <v>2114.3199999999997</v>
      </c>
      <c r="AL116" s="32">
        <f t="shared" si="10"/>
        <v>2273.9699999999998</v>
      </c>
      <c r="AM116" s="32">
        <f t="shared" si="11"/>
        <v>9288.2999999999993</v>
      </c>
      <c r="AN116" s="32">
        <f t="shared" si="12"/>
        <v>10097.43</v>
      </c>
      <c r="AO116" s="34">
        <f t="shared" si="13"/>
        <v>0.92979238952140963</v>
      </c>
      <c r="AP116" s="34">
        <f t="shared" si="14"/>
        <v>0.91986772871908984</v>
      </c>
      <c r="AQ116" s="33">
        <f t="shared" si="15"/>
        <v>11207.230000000001</v>
      </c>
      <c r="AR116" s="37">
        <f t="shared" si="16"/>
        <v>4388.2899999999991</v>
      </c>
      <c r="AS116" s="37">
        <f t="shared" si="17"/>
        <v>19385.73</v>
      </c>
    </row>
    <row r="117" spans="1:45" x14ac:dyDescent="0.25">
      <c r="A117" s="26" t="s">
        <v>320</v>
      </c>
      <c r="B117" t="s">
        <v>321</v>
      </c>
      <c r="C117" s="25">
        <v>0</v>
      </c>
      <c r="D117" s="25">
        <v>0</v>
      </c>
      <c r="E117" s="25">
        <v>4.9800000000000004</v>
      </c>
      <c r="F117" s="25">
        <v>0</v>
      </c>
      <c r="G117" s="25">
        <v>39.83</v>
      </c>
      <c r="H117" s="25">
        <v>9.9600000000000009</v>
      </c>
      <c r="I117" s="25">
        <v>154.36000000000001</v>
      </c>
      <c r="J117" s="25">
        <v>59.75</v>
      </c>
      <c r="K117" s="25">
        <v>44.81</v>
      </c>
      <c r="L117" s="25">
        <v>54.77</v>
      </c>
      <c r="M117" s="25">
        <v>463.07</v>
      </c>
      <c r="N117" s="25">
        <v>283.82</v>
      </c>
      <c r="O117" s="25">
        <v>64.73</v>
      </c>
      <c r="P117" s="25">
        <v>19.920000000000002</v>
      </c>
      <c r="Q117" s="25">
        <v>507.88</v>
      </c>
      <c r="R117" s="25">
        <v>632.36</v>
      </c>
      <c r="S117" s="25">
        <v>14.94</v>
      </c>
      <c r="T117" s="25">
        <v>124.48</v>
      </c>
      <c r="U117" s="25">
        <v>224.06</v>
      </c>
      <c r="V117" s="25">
        <v>557.66999999999996</v>
      </c>
      <c r="W117" s="25">
        <v>114.52</v>
      </c>
      <c r="X117" s="25">
        <v>34.85</v>
      </c>
      <c r="Y117" s="25">
        <v>403.32</v>
      </c>
      <c r="Z117" s="25">
        <v>84.65</v>
      </c>
      <c r="AA117" s="25">
        <v>99.62</v>
      </c>
      <c r="AB117" s="25">
        <v>129.5</v>
      </c>
      <c r="AC117" s="25">
        <v>478.13</v>
      </c>
      <c r="AD117" s="25">
        <v>652.76</v>
      </c>
      <c r="AE117" s="25">
        <v>44.81</v>
      </c>
      <c r="AF117" s="25">
        <v>84.65</v>
      </c>
      <c r="AG117" s="25">
        <v>1085.47</v>
      </c>
      <c r="AH117" s="25">
        <v>1120.32</v>
      </c>
      <c r="AI117" s="25" t="s">
        <v>88</v>
      </c>
      <c r="AJ117" s="25" t="s">
        <v>89</v>
      </c>
      <c r="AK117" s="32">
        <f t="shared" si="9"/>
        <v>423.26</v>
      </c>
      <c r="AL117" s="32">
        <f t="shared" si="10"/>
        <v>458.13</v>
      </c>
      <c r="AM117" s="32">
        <f t="shared" si="11"/>
        <v>3321.2699999999995</v>
      </c>
      <c r="AN117" s="32">
        <f t="shared" si="12"/>
        <v>3391.33</v>
      </c>
      <c r="AO117" s="34">
        <f t="shared" si="13"/>
        <v>0.92388623316525875</v>
      </c>
      <c r="AP117" s="34">
        <f t="shared" si="14"/>
        <v>0.97934143831476139</v>
      </c>
      <c r="AQ117" s="33">
        <f t="shared" si="15"/>
        <v>3898.7300000000005</v>
      </c>
      <c r="AR117" s="37">
        <f t="shared" si="16"/>
        <v>881.39</v>
      </c>
      <c r="AS117" s="37">
        <f t="shared" si="17"/>
        <v>6712.5999999999995</v>
      </c>
    </row>
    <row r="118" spans="1:45" x14ac:dyDescent="0.25">
      <c r="A118" s="26" t="s">
        <v>322</v>
      </c>
      <c r="B118" t="s">
        <v>323</v>
      </c>
      <c r="C118" s="25">
        <v>0</v>
      </c>
      <c r="D118" s="25">
        <v>0</v>
      </c>
      <c r="E118" s="25">
        <v>1.07</v>
      </c>
      <c r="F118" s="25">
        <v>0</v>
      </c>
      <c r="G118" s="25">
        <v>113.26</v>
      </c>
      <c r="H118" s="25">
        <v>30.32</v>
      </c>
      <c r="I118" s="25">
        <v>232.23</v>
      </c>
      <c r="J118" s="25">
        <v>88.25</v>
      </c>
      <c r="K118" s="25">
        <v>112.25</v>
      </c>
      <c r="L118" s="25">
        <v>87.9</v>
      </c>
      <c r="M118" s="25">
        <v>648.88</v>
      </c>
      <c r="N118" s="25">
        <v>485.76</v>
      </c>
      <c r="O118" s="25">
        <v>142.51</v>
      </c>
      <c r="P118" s="25">
        <v>104.44</v>
      </c>
      <c r="Q118" s="25">
        <v>755.73</v>
      </c>
      <c r="R118" s="25">
        <v>848.56</v>
      </c>
      <c r="S118" s="25">
        <v>103.8</v>
      </c>
      <c r="T118" s="25">
        <v>381.64</v>
      </c>
      <c r="U118" s="25">
        <v>368.69</v>
      </c>
      <c r="V118" s="25">
        <v>1042.49</v>
      </c>
      <c r="W118" s="25">
        <v>427.24</v>
      </c>
      <c r="X118" s="25">
        <v>131.83000000000001</v>
      </c>
      <c r="Y118" s="25">
        <v>643.75</v>
      </c>
      <c r="Z118" s="25">
        <v>115.09</v>
      </c>
      <c r="AA118" s="25">
        <v>251.14</v>
      </c>
      <c r="AB118" s="25">
        <v>188.53</v>
      </c>
      <c r="AC118" s="25">
        <v>853.02</v>
      </c>
      <c r="AD118" s="25">
        <v>1143.04</v>
      </c>
      <c r="AE118" s="25">
        <v>111.83</v>
      </c>
      <c r="AF118" s="25">
        <v>323.69</v>
      </c>
      <c r="AG118" s="25">
        <v>1962.33</v>
      </c>
      <c r="AH118" s="25">
        <v>2030.64</v>
      </c>
      <c r="AI118" s="25" t="s">
        <v>101</v>
      </c>
      <c r="AJ118" s="25" t="s">
        <v>89</v>
      </c>
      <c r="AK118" s="32">
        <f t="shared" si="9"/>
        <v>1262.0299999999997</v>
      </c>
      <c r="AL118" s="32">
        <f t="shared" si="10"/>
        <v>1248.3499999999999</v>
      </c>
      <c r="AM118" s="32">
        <f t="shared" si="11"/>
        <v>5465.7</v>
      </c>
      <c r="AN118" s="32">
        <f t="shared" si="12"/>
        <v>5753.83</v>
      </c>
      <c r="AO118" s="34">
        <f t="shared" si="13"/>
        <v>1.0109584651740295</v>
      </c>
      <c r="AP118" s="34">
        <f t="shared" si="14"/>
        <v>0.94992378989299298</v>
      </c>
      <c r="AQ118" s="33">
        <f t="shared" si="15"/>
        <v>6865.69</v>
      </c>
      <c r="AR118" s="37">
        <f t="shared" si="16"/>
        <v>2510.3799999999997</v>
      </c>
      <c r="AS118" s="37">
        <f t="shared" si="17"/>
        <v>11219.529999999999</v>
      </c>
    </row>
    <row r="119" spans="1:45" x14ac:dyDescent="0.25">
      <c r="A119" s="26" t="s">
        <v>324</v>
      </c>
      <c r="B119" t="s">
        <v>325</v>
      </c>
      <c r="C119" s="25">
        <v>0</v>
      </c>
      <c r="D119" s="25">
        <v>0</v>
      </c>
      <c r="E119" s="25">
        <v>9.8800000000000008</v>
      </c>
      <c r="F119" s="25">
        <v>4.9400000000000004</v>
      </c>
      <c r="G119" s="25">
        <v>9.84</v>
      </c>
      <c r="H119" s="25">
        <v>0</v>
      </c>
      <c r="I119" s="25">
        <v>94.38</v>
      </c>
      <c r="J119" s="25">
        <v>19.88</v>
      </c>
      <c r="K119" s="25">
        <v>9.8000000000000007</v>
      </c>
      <c r="L119" s="25">
        <v>0</v>
      </c>
      <c r="M119" s="25">
        <v>204.08</v>
      </c>
      <c r="N119" s="25">
        <v>139.04</v>
      </c>
      <c r="O119" s="25">
        <v>24.74</v>
      </c>
      <c r="P119" s="25">
        <v>10.039999999999999</v>
      </c>
      <c r="Q119" s="25">
        <v>278.5</v>
      </c>
      <c r="R119" s="25">
        <v>398.44</v>
      </c>
      <c r="S119" s="25">
        <v>4.9400000000000004</v>
      </c>
      <c r="T119" s="25">
        <v>24.9</v>
      </c>
      <c r="U119" s="25">
        <v>109.45</v>
      </c>
      <c r="V119" s="25">
        <v>382.73</v>
      </c>
      <c r="W119" s="25">
        <v>34.78</v>
      </c>
      <c r="X119" s="25">
        <v>0</v>
      </c>
      <c r="Y119" s="25">
        <v>238.7</v>
      </c>
      <c r="Z119" s="25">
        <v>19.84</v>
      </c>
      <c r="AA119" s="25">
        <v>20.170000000000002</v>
      </c>
      <c r="AB119" s="25">
        <v>15.07</v>
      </c>
      <c r="AC119" s="25">
        <v>537.30999999999995</v>
      </c>
      <c r="AD119" s="25">
        <v>607.61</v>
      </c>
      <c r="AE119" s="25">
        <v>9.9600000000000009</v>
      </c>
      <c r="AF119" s="25">
        <v>24.62</v>
      </c>
      <c r="AG119" s="25">
        <v>528.32000000000005</v>
      </c>
      <c r="AH119" s="25">
        <v>588.20000000000005</v>
      </c>
      <c r="AI119" s="25" t="s">
        <v>88</v>
      </c>
      <c r="AJ119" s="25" t="s">
        <v>89</v>
      </c>
      <c r="AK119" s="32">
        <f t="shared" si="9"/>
        <v>114.22999999999999</v>
      </c>
      <c r="AL119" s="32">
        <f t="shared" si="10"/>
        <v>74.63</v>
      </c>
      <c r="AM119" s="32">
        <f t="shared" si="11"/>
        <v>2000.62</v>
      </c>
      <c r="AN119" s="32">
        <f t="shared" si="12"/>
        <v>2160.6800000000003</v>
      </c>
      <c r="AO119" s="34">
        <f t="shared" si="13"/>
        <v>1.5306177140560095</v>
      </c>
      <c r="AP119" s="34">
        <f t="shared" si="14"/>
        <v>0.92592146916711393</v>
      </c>
      <c r="AQ119" s="33">
        <f t="shared" si="15"/>
        <v>2018.9</v>
      </c>
      <c r="AR119" s="37">
        <f t="shared" si="16"/>
        <v>188.85999999999999</v>
      </c>
      <c r="AS119" s="37">
        <f t="shared" si="17"/>
        <v>4161.3</v>
      </c>
    </row>
    <row r="120" spans="1:45" x14ac:dyDescent="0.25">
      <c r="A120" s="26" t="s">
        <v>326</v>
      </c>
      <c r="B120" t="s">
        <v>327</v>
      </c>
      <c r="C120" s="25">
        <v>0</v>
      </c>
      <c r="D120" s="25">
        <v>0</v>
      </c>
      <c r="E120" s="25">
        <v>2.59</v>
      </c>
      <c r="F120" s="25">
        <v>0</v>
      </c>
      <c r="G120" s="25">
        <v>114.26</v>
      </c>
      <c r="H120" s="25">
        <v>42.72</v>
      </c>
      <c r="I120" s="25">
        <v>294.49</v>
      </c>
      <c r="J120" s="25">
        <v>68.39</v>
      </c>
      <c r="K120" s="25">
        <v>198.15</v>
      </c>
      <c r="L120" s="25">
        <v>108.17</v>
      </c>
      <c r="M120" s="25">
        <v>1056.6500000000001</v>
      </c>
      <c r="N120" s="25">
        <v>757.32</v>
      </c>
      <c r="O120" s="25">
        <v>196.06</v>
      </c>
      <c r="P120" s="25">
        <v>193.92</v>
      </c>
      <c r="Q120" s="25">
        <v>1142.68</v>
      </c>
      <c r="R120" s="25">
        <v>1530.25</v>
      </c>
      <c r="S120" s="25">
        <v>124.18</v>
      </c>
      <c r="T120" s="25">
        <v>515.32000000000005</v>
      </c>
      <c r="U120" s="25">
        <v>624.34</v>
      </c>
      <c r="V120" s="25">
        <v>1523.99</v>
      </c>
      <c r="W120" s="25">
        <v>504</v>
      </c>
      <c r="X120" s="25">
        <v>143.69999999999999</v>
      </c>
      <c r="Y120" s="25">
        <v>953.36</v>
      </c>
      <c r="Z120" s="25">
        <v>136.87</v>
      </c>
      <c r="AA120" s="25">
        <v>273.17</v>
      </c>
      <c r="AB120" s="25">
        <v>295.92</v>
      </c>
      <c r="AC120" s="25">
        <v>1353.51</v>
      </c>
      <c r="AD120" s="25">
        <v>1801.52</v>
      </c>
      <c r="AE120" s="25">
        <v>167.85</v>
      </c>
      <c r="AF120" s="25">
        <v>513.49</v>
      </c>
      <c r="AG120" s="25">
        <v>3149.25</v>
      </c>
      <c r="AH120" s="25">
        <v>3121.89</v>
      </c>
      <c r="AI120" s="25" t="s">
        <v>88</v>
      </c>
      <c r="AJ120" s="25" t="s">
        <v>89</v>
      </c>
      <c r="AK120" s="32">
        <f t="shared" si="9"/>
        <v>1577.67</v>
      </c>
      <c r="AL120" s="32">
        <f t="shared" si="10"/>
        <v>1813.24</v>
      </c>
      <c r="AM120" s="32">
        <f t="shared" si="11"/>
        <v>8576.869999999999</v>
      </c>
      <c r="AN120" s="32">
        <f t="shared" si="12"/>
        <v>8940.23</v>
      </c>
      <c r="AO120" s="34">
        <f t="shared" si="13"/>
        <v>0.87008338664490092</v>
      </c>
      <c r="AP120" s="34">
        <f t="shared" si="14"/>
        <v>0.95935675032968948</v>
      </c>
      <c r="AQ120" s="33">
        <f t="shared" si="15"/>
        <v>10231.410000000003</v>
      </c>
      <c r="AR120" s="37">
        <f t="shared" si="16"/>
        <v>3390.91</v>
      </c>
      <c r="AS120" s="37">
        <f t="shared" si="17"/>
        <v>17517.099999999999</v>
      </c>
    </row>
    <row r="121" spans="1:45" x14ac:dyDescent="0.25">
      <c r="A121" s="26" t="s">
        <v>328</v>
      </c>
      <c r="B121" t="s">
        <v>329</v>
      </c>
      <c r="C121" s="25">
        <v>0</v>
      </c>
      <c r="D121" s="25">
        <v>0</v>
      </c>
      <c r="E121" s="25">
        <v>0</v>
      </c>
      <c r="F121" s="25">
        <v>0</v>
      </c>
      <c r="G121" s="25">
        <v>4.5</v>
      </c>
      <c r="H121" s="25">
        <v>4.5</v>
      </c>
      <c r="I121" s="25">
        <v>39.75</v>
      </c>
      <c r="J121" s="25">
        <v>5.17</v>
      </c>
      <c r="K121" s="25">
        <v>0</v>
      </c>
      <c r="L121" s="25">
        <v>4.82</v>
      </c>
      <c r="M121" s="25">
        <v>32.85</v>
      </c>
      <c r="N121" s="25">
        <v>38.020000000000003</v>
      </c>
      <c r="O121" s="25">
        <v>0</v>
      </c>
      <c r="P121" s="25">
        <v>5.17</v>
      </c>
      <c r="Q121" s="25">
        <v>23.48</v>
      </c>
      <c r="R121" s="25">
        <v>23.81</v>
      </c>
      <c r="S121" s="25">
        <v>0</v>
      </c>
      <c r="T121" s="25">
        <v>4.5</v>
      </c>
      <c r="U121" s="25">
        <v>15.2</v>
      </c>
      <c r="V121" s="25">
        <v>32.799999999999997</v>
      </c>
      <c r="W121" s="25">
        <v>0</v>
      </c>
      <c r="X121" s="25">
        <v>0</v>
      </c>
      <c r="Y121" s="25">
        <v>55.66</v>
      </c>
      <c r="Z121" s="25">
        <v>5.17</v>
      </c>
      <c r="AA121" s="25">
        <v>0</v>
      </c>
      <c r="AB121" s="25">
        <v>0</v>
      </c>
      <c r="AC121" s="25">
        <v>46.61</v>
      </c>
      <c r="AD121" s="25">
        <v>61.48</v>
      </c>
      <c r="AE121" s="25">
        <v>0</v>
      </c>
      <c r="AF121" s="25">
        <v>4.5</v>
      </c>
      <c r="AG121" s="25">
        <v>58.81</v>
      </c>
      <c r="AH121" s="25">
        <v>50.29</v>
      </c>
      <c r="AI121" s="25" t="s">
        <v>88</v>
      </c>
      <c r="AJ121" s="25" t="s">
        <v>89</v>
      </c>
      <c r="AK121" s="32">
        <f t="shared" si="9"/>
        <v>4.5</v>
      </c>
      <c r="AL121" s="32">
        <f t="shared" si="10"/>
        <v>23.490000000000002</v>
      </c>
      <c r="AM121" s="32">
        <f t="shared" si="11"/>
        <v>272.36</v>
      </c>
      <c r="AN121" s="32">
        <f t="shared" si="12"/>
        <v>216.73999999999998</v>
      </c>
      <c r="AO121" s="34">
        <f t="shared" si="13"/>
        <v>0.19157088122605362</v>
      </c>
      <c r="AP121" s="34">
        <f t="shared" si="14"/>
        <v>1.2566208360247302</v>
      </c>
      <c r="AQ121" s="33">
        <f t="shared" si="15"/>
        <v>295.40000000000003</v>
      </c>
      <c r="AR121" s="37">
        <f t="shared" si="16"/>
        <v>27.990000000000002</v>
      </c>
      <c r="AS121" s="37">
        <f t="shared" si="17"/>
        <v>489.1</v>
      </c>
    </row>
    <row r="122" spans="1:45" x14ac:dyDescent="0.25">
      <c r="A122" s="26" t="s">
        <v>330</v>
      </c>
      <c r="B122" t="s">
        <v>331</v>
      </c>
      <c r="C122" s="25">
        <v>0</v>
      </c>
      <c r="D122" s="25">
        <v>0</v>
      </c>
      <c r="E122" s="25">
        <v>0</v>
      </c>
      <c r="F122" s="25">
        <v>0</v>
      </c>
      <c r="G122" s="25">
        <v>0</v>
      </c>
      <c r="H122" s="25">
        <v>0</v>
      </c>
      <c r="I122" s="25">
        <v>28.03</v>
      </c>
      <c r="J122" s="25">
        <v>9.34</v>
      </c>
      <c r="K122" s="25">
        <v>0</v>
      </c>
      <c r="L122" s="25">
        <v>0</v>
      </c>
      <c r="M122" s="25">
        <v>14.02</v>
      </c>
      <c r="N122" s="25">
        <v>42.05</v>
      </c>
      <c r="O122" s="25">
        <v>4.67</v>
      </c>
      <c r="P122" s="25">
        <v>4.67</v>
      </c>
      <c r="Q122" s="25">
        <v>37.380000000000003</v>
      </c>
      <c r="R122" s="25">
        <v>46.72</v>
      </c>
      <c r="S122" s="25">
        <v>0</v>
      </c>
      <c r="T122" s="25">
        <v>0</v>
      </c>
      <c r="U122" s="25">
        <v>14.02</v>
      </c>
      <c r="V122" s="25">
        <v>32.700000000000003</v>
      </c>
      <c r="W122" s="25">
        <v>4.67</v>
      </c>
      <c r="X122" s="25">
        <v>0</v>
      </c>
      <c r="Y122" s="25">
        <v>18.690000000000001</v>
      </c>
      <c r="Z122" s="25">
        <v>9.34</v>
      </c>
      <c r="AA122" s="25">
        <v>0</v>
      </c>
      <c r="AB122" s="25">
        <v>9.34</v>
      </c>
      <c r="AC122" s="25">
        <v>37.380000000000003</v>
      </c>
      <c r="AD122" s="25">
        <v>37.380000000000003</v>
      </c>
      <c r="AE122" s="25">
        <v>0</v>
      </c>
      <c r="AF122" s="25">
        <v>0</v>
      </c>
      <c r="AG122" s="25">
        <v>65.41</v>
      </c>
      <c r="AH122" s="25">
        <v>74.75</v>
      </c>
      <c r="AI122" s="25" t="s">
        <v>94</v>
      </c>
      <c r="AJ122" s="25" t="s">
        <v>89</v>
      </c>
      <c r="AK122" s="32">
        <f t="shared" si="9"/>
        <v>9.34</v>
      </c>
      <c r="AL122" s="32">
        <f t="shared" si="10"/>
        <v>14.01</v>
      </c>
      <c r="AM122" s="32">
        <f t="shared" si="11"/>
        <v>214.93</v>
      </c>
      <c r="AN122" s="32">
        <f t="shared" si="12"/>
        <v>252.28</v>
      </c>
      <c r="AO122" s="34">
        <f t="shared" si="13"/>
        <v>0.66666666666666663</v>
      </c>
      <c r="AP122" s="34">
        <f t="shared" si="14"/>
        <v>0.85195021404788329</v>
      </c>
      <c r="AQ122" s="33">
        <f t="shared" si="15"/>
        <v>266.3</v>
      </c>
      <c r="AR122" s="37">
        <f t="shared" si="16"/>
        <v>23.35</v>
      </c>
      <c r="AS122" s="37">
        <f t="shared" si="17"/>
        <v>467.21000000000004</v>
      </c>
    </row>
    <row r="123" spans="1:45" x14ac:dyDescent="0.25">
      <c r="A123" s="26" t="s">
        <v>332</v>
      </c>
      <c r="B123" t="s">
        <v>333</v>
      </c>
      <c r="C123" s="25">
        <v>0</v>
      </c>
      <c r="D123" s="25">
        <v>0</v>
      </c>
      <c r="E123" s="25">
        <v>0</v>
      </c>
      <c r="F123" s="25">
        <v>0</v>
      </c>
      <c r="G123" s="25">
        <v>19.97</v>
      </c>
      <c r="H123" s="25">
        <v>0</v>
      </c>
      <c r="I123" s="25">
        <v>65.12</v>
      </c>
      <c r="J123" s="25">
        <v>10.01</v>
      </c>
      <c r="K123" s="25">
        <v>10.050000000000001</v>
      </c>
      <c r="L123" s="25">
        <v>20.12</v>
      </c>
      <c r="M123" s="25">
        <v>250.4</v>
      </c>
      <c r="N123" s="25">
        <v>255.4</v>
      </c>
      <c r="O123" s="25">
        <v>25.03</v>
      </c>
      <c r="P123" s="25">
        <v>4.97</v>
      </c>
      <c r="Q123" s="25">
        <v>330.81</v>
      </c>
      <c r="R123" s="25">
        <v>285.85000000000002</v>
      </c>
      <c r="S123" s="25">
        <v>9.9700000000000006</v>
      </c>
      <c r="T123" s="25">
        <v>45.08</v>
      </c>
      <c r="U123" s="25">
        <v>100.21</v>
      </c>
      <c r="V123" s="25">
        <v>370.94</v>
      </c>
      <c r="W123" s="25">
        <v>54.91</v>
      </c>
      <c r="X123" s="25">
        <v>35.01</v>
      </c>
      <c r="Y123" s="25">
        <v>160.19999999999999</v>
      </c>
      <c r="Z123" s="25">
        <v>20.059999999999999</v>
      </c>
      <c r="AA123" s="25">
        <v>45.17</v>
      </c>
      <c r="AB123" s="25">
        <v>50.38</v>
      </c>
      <c r="AC123" s="25">
        <v>337.39</v>
      </c>
      <c r="AD123" s="25">
        <v>342.63</v>
      </c>
      <c r="AE123" s="25">
        <v>10.029999999999999</v>
      </c>
      <c r="AF123" s="25">
        <v>59.88</v>
      </c>
      <c r="AG123" s="25">
        <v>553.64</v>
      </c>
      <c r="AH123" s="25">
        <v>648.78</v>
      </c>
      <c r="AI123" s="25" t="s">
        <v>88</v>
      </c>
      <c r="AJ123" s="25" t="s">
        <v>89</v>
      </c>
      <c r="AK123" s="32">
        <f t="shared" si="9"/>
        <v>175.13</v>
      </c>
      <c r="AL123" s="32">
        <f t="shared" si="10"/>
        <v>215.44</v>
      </c>
      <c r="AM123" s="32">
        <f t="shared" si="11"/>
        <v>1797.77</v>
      </c>
      <c r="AN123" s="32">
        <f t="shared" si="12"/>
        <v>1933.6699999999998</v>
      </c>
      <c r="AO123" s="34">
        <f t="shared" si="13"/>
        <v>0.81289454140363904</v>
      </c>
      <c r="AP123" s="34">
        <f t="shared" si="14"/>
        <v>0.92971913511612636</v>
      </c>
      <c r="AQ123" s="33">
        <f t="shared" si="15"/>
        <v>2074.11</v>
      </c>
      <c r="AR123" s="37">
        <f t="shared" si="16"/>
        <v>390.57</v>
      </c>
      <c r="AS123" s="37">
        <f t="shared" si="17"/>
        <v>3731.4399999999996</v>
      </c>
    </row>
    <row r="124" spans="1:45" x14ac:dyDescent="0.25">
      <c r="A124" s="26" t="s">
        <v>334</v>
      </c>
      <c r="B124" t="s">
        <v>335</v>
      </c>
      <c r="C124" s="25">
        <v>5.15</v>
      </c>
      <c r="D124" s="25">
        <v>0</v>
      </c>
      <c r="E124" s="25">
        <v>5</v>
      </c>
      <c r="F124" s="25">
        <v>0</v>
      </c>
      <c r="G124" s="25">
        <v>20.58</v>
      </c>
      <c r="H124" s="25">
        <v>5.15</v>
      </c>
      <c r="I124" s="25">
        <v>72.040000000000006</v>
      </c>
      <c r="J124" s="25">
        <v>36.020000000000003</v>
      </c>
      <c r="K124" s="25">
        <v>36.020000000000003</v>
      </c>
      <c r="L124" s="25">
        <v>25.73</v>
      </c>
      <c r="M124" s="25">
        <v>432.22</v>
      </c>
      <c r="N124" s="25">
        <v>246.98</v>
      </c>
      <c r="O124" s="25">
        <v>10.29</v>
      </c>
      <c r="P124" s="25">
        <v>41.16</v>
      </c>
      <c r="Q124" s="25">
        <v>416.78</v>
      </c>
      <c r="R124" s="25">
        <v>437.37</v>
      </c>
      <c r="S124" s="25">
        <v>0</v>
      </c>
      <c r="T124" s="25">
        <v>36.020000000000003</v>
      </c>
      <c r="U124" s="25">
        <v>108.06</v>
      </c>
      <c r="V124" s="25">
        <v>355.04</v>
      </c>
      <c r="W124" s="25">
        <v>25.73</v>
      </c>
      <c r="X124" s="25">
        <v>10.29</v>
      </c>
      <c r="Y124" s="25">
        <v>195.53</v>
      </c>
      <c r="Z124" s="25">
        <v>30.87</v>
      </c>
      <c r="AA124" s="25">
        <v>10.29</v>
      </c>
      <c r="AB124" s="25">
        <v>20.58</v>
      </c>
      <c r="AC124" s="25">
        <v>298.44</v>
      </c>
      <c r="AD124" s="25">
        <v>385.91</v>
      </c>
      <c r="AE124" s="25">
        <v>30.87</v>
      </c>
      <c r="AF124" s="25">
        <v>77.180000000000007</v>
      </c>
      <c r="AG124" s="25">
        <v>648.19000000000005</v>
      </c>
      <c r="AH124" s="25">
        <v>627.30999999999995</v>
      </c>
      <c r="AI124" s="25" t="s">
        <v>88</v>
      </c>
      <c r="AJ124" s="25" t="s">
        <v>89</v>
      </c>
      <c r="AK124" s="32">
        <f t="shared" si="9"/>
        <v>138.93</v>
      </c>
      <c r="AL124" s="32">
        <f t="shared" si="10"/>
        <v>216.11</v>
      </c>
      <c r="AM124" s="32">
        <f t="shared" si="11"/>
        <v>2176.2600000000002</v>
      </c>
      <c r="AN124" s="32">
        <f t="shared" si="12"/>
        <v>2119.5</v>
      </c>
      <c r="AO124" s="34">
        <f t="shared" si="13"/>
        <v>0.64286705844245984</v>
      </c>
      <c r="AP124" s="34">
        <f t="shared" si="14"/>
        <v>1.0267799009200285</v>
      </c>
      <c r="AQ124" s="33">
        <f t="shared" si="15"/>
        <v>2552.0299999999997</v>
      </c>
      <c r="AR124" s="37">
        <f t="shared" si="16"/>
        <v>355.04</v>
      </c>
      <c r="AS124" s="37">
        <f t="shared" si="17"/>
        <v>4295.76</v>
      </c>
    </row>
    <row r="125" spans="1:45" x14ac:dyDescent="0.25">
      <c r="A125" s="26" t="s">
        <v>336</v>
      </c>
      <c r="B125" t="s">
        <v>337</v>
      </c>
      <c r="C125" s="25">
        <v>0</v>
      </c>
      <c r="D125" s="25">
        <v>0</v>
      </c>
      <c r="E125" s="25">
        <v>5</v>
      </c>
      <c r="F125" s="25">
        <v>5</v>
      </c>
      <c r="G125" s="25">
        <v>10</v>
      </c>
      <c r="H125" s="25">
        <v>0</v>
      </c>
      <c r="I125" s="25">
        <v>74.989999999999995</v>
      </c>
      <c r="J125" s="25">
        <v>30</v>
      </c>
      <c r="K125" s="25">
        <v>20</v>
      </c>
      <c r="L125" s="25">
        <v>5</v>
      </c>
      <c r="M125" s="25">
        <v>269.97000000000003</v>
      </c>
      <c r="N125" s="25">
        <v>214.97</v>
      </c>
      <c r="O125" s="25">
        <v>0</v>
      </c>
      <c r="P125" s="25">
        <v>10</v>
      </c>
      <c r="Q125" s="25">
        <v>405.43</v>
      </c>
      <c r="R125" s="25">
        <v>340.91</v>
      </c>
      <c r="S125" s="25">
        <v>0</v>
      </c>
      <c r="T125" s="25">
        <v>44.99</v>
      </c>
      <c r="U125" s="25">
        <v>331.88</v>
      </c>
      <c r="V125" s="25">
        <v>385.91</v>
      </c>
      <c r="W125" s="25">
        <v>15</v>
      </c>
      <c r="X125" s="25">
        <v>0</v>
      </c>
      <c r="Y125" s="25">
        <v>175.22</v>
      </c>
      <c r="Z125" s="25">
        <v>70.23</v>
      </c>
      <c r="AA125" s="25">
        <v>40</v>
      </c>
      <c r="AB125" s="25">
        <v>20</v>
      </c>
      <c r="AC125" s="25">
        <v>334.96</v>
      </c>
      <c r="AD125" s="25">
        <v>369.95</v>
      </c>
      <c r="AE125" s="25">
        <v>15</v>
      </c>
      <c r="AF125" s="25">
        <v>35</v>
      </c>
      <c r="AG125" s="25">
        <v>740.15</v>
      </c>
      <c r="AH125" s="25">
        <v>840.14</v>
      </c>
      <c r="AI125" s="25" t="s">
        <v>88</v>
      </c>
      <c r="AJ125" s="25" t="s">
        <v>89</v>
      </c>
      <c r="AK125" s="32">
        <f t="shared" si="9"/>
        <v>100</v>
      </c>
      <c r="AL125" s="32">
        <f t="shared" si="10"/>
        <v>114.99000000000001</v>
      </c>
      <c r="AM125" s="32">
        <f t="shared" si="11"/>
        <v>2337.6</v>
      </c>
      <c r="AN125" s="32">
        <f t="shared" si="12"/>
        <v>2257.11</v>
      </c>
      <c r="AO125" s="34">
        <f t="shared" si="13"/>
        <v>0.86964083833376804</v>
      </c>
      <c r="AP125" s="34">
        <f t="shared" si="14"/>
        <v>1.0356606456929436</v>
      </c>
      <c r="AQ125" s="33">
        <f t="shared" si="15"/>
        <v>2414.5</v>
      </c>
      <c r="AR125" s="37">
        <f t="shared" si="16"/>
        <v>214.99</v>
      </c>
      <c r="AS125" s="37">
        <f t="shared" si="17"/>
        <v>4594.71</v>
      </c>
    </row>
    <row r="126" spans="1:45" x14ac:dyDescent="0.25">
      <c r="A126" s="26" t="s">
        <v>338</v>
      </c>
      <c r="B126" t="s">
        <v>339</v>
      </c>
      <c r="C126" s="25">
        <v>0</v>
      </c>
      <c r="D126" s="25">
        <v>0</v>
      </c>
      <c r="E126" s="25">
        <v>0</v>
      </c>
      <c r="F126" s="25">
        <v>0</v>
      </c>
      <c r="G126" s="25">
        <v>4.93</v>
      </c>
      <c r="H126" s="25">
        <v>0</v>
      </c>
      <c r="I126" s="25">
        <v>29.57</v>
      </c>
      <c r="J126" s="25">
        <v>14.79</v>
      </c>
      <c r="K126" s="25">
        <v>9.86</v>
      </c>
      <c r="L126" s="25">
        <v>0</v>
      </c>
      <c r="M126" s="25">
        <v>39.43</v>
      </c>
      <c r="N126" s="25">
        <v>9.86</v>
      </c>
      <c r="O126" s="25">
        <v>4.93</v>
      </c>
      <c r="P126" s="25">
        <v>0</v>
      </c>
      <c r="Q126" s="25">
        <v>54.22</v>
      </c>
      <c r="R126" s="25">
        <v>54.22</v>
      </c>
      <c r="S126" s="25">
        <v>9.86</v>
      </c>
      <c r="T126" s="25">
        <v>19.72</v>
      </c>
      <c r="U126" s="25">
        <v>14.79</v>
      </c>
      <c r="V126" s="25">
        <v>98.58</v>
      </c>
      <c r="W126" s="25">
        <v>0</v>
      </c>
      <c r="X126" s="25">
        <v>4.93</v>
      </c>
      <c r="Y126" s="25">
        <v>64.069999999999993</v>
      </c>
      <c r="Z126" s="25">
        <v>0</v>
      </c>
      <c r="AA126" s="25">
        <v>14.79</v>
      </c>
      <c r="AB126" s="25">
        <v>4.93</v>
      </c>
      <c r="AC126" s="25">
        <v>142.93</v>
      </c>
      <c r="AD126" s="25">
        <v>142.93</v>
      </c>
      <c r="AE126" s="25">
        <v>0</v>
      </c>
      <c r="AF126" s="25">
        <v>4.93</v>
      </c>
      <c r="AG126" s="25">
        <v>138.01</v>
      </c>
      <c r="AH126" s="25">
        <v>162.65</v>
      </c>
      <c r="AI126" s="25" t="s">
        <v>94</v>
      </c>
      <c r="AJ126" s="25" t="s">
        <v>89</v>
      </c>
      <c r="AK126" s="32">
        <f t="shared" si="9"/>
        <v>44.37</v>
      </c>
      <c r="AL126" s="32">
        <f t="shared" si="10"/>
        <v>34.51</v>
      </c>
      <c r="AM126" s="32">
        <f t="shared" si="11"/>
        <v>483.02</v>
      </c>
      <c r="AN126" s="32">
        <f t="shared" si="12"/>
        <v>483.03</v>
      </c>
      <c r="AO126" s="34">
        <f t="shared" si="13"/>
        <v>1.2857142857142858</v>
      </c>
      <c r="AP126" s="34">
        <f t="shared" si="14"/>
        <v>0.99997929735213131</v>
      </c>
      <c r="AQ126" s="33">
        <f t="shared" si="15"/>
        <v>433.76</v>
      </c>
      <c r="AR126" s="37">
        <f t="shared" si="16"/>
        <v>78.88</v>
      </c>
      <c r="AS126" s="37">
        <f t="shared" si="17"/>
        <v>966.05</v>
      </c>
    </row>
    <row r="127" spans="1:45" x14ac:dyDescent="0.25">
      <c r="A127" s="26" t="s">
        <v>340</v>
      </c>
      <c r="B127" t="s">
        <v>341</v>
      </c>
      <c r="C127" s="25">
        <v>0</v>
      </c>
      <c r="D127" s="25">
        <v>0</v>
      </c>
      <c r="E127" s="25">
        <v>0</v>
      </c>
      <c r="F127" s="25">
        <v>0</v>
      </c>
      <c r="G127" s="25">
        <v>5</v>
      </c>
      <c r="H127" s="25">
        <v>0</v>
      </c>
      <c r="I127" s="25">
        <v>55</v>
      </c>
      <c r="J127" s="25">
        <v>25</v>
      </c>
      <c r="K127" s="25">
        <v>10</v>
      </c>
      <c r="L127" s="25">
        <v>0</v>
      </c>
      <c r="M127" s="25">
        <v>85</v>
      </c>
      <c r="N127" s="25">
        <v>60</v>
      </c>
      <c r="O127" s="25">
        <v>40</v>
      </c>
      <c r="P127" s="25">
        <v>30</v>
      </c>
      <c r="Q127" s="25">
        <v>160</v>
      </c>
      <c r="R127" s="25">
        <v>115</v>
      </c>
      <c r="S127" s="25">
        <v>20</v>
      </c>
      <c r="T127" s="25">
        <v>55</v>
      </c>
      <c r="U127" s="25">
        <v>65</v>
      </c>
      <c r="V127" s="25">
        <v>135</v>
      </c>
      <c r="W127" s="25">
        <v>55</v>
      </c>
      <c r="X127" s="25">
        <v>20</v>
      </c>
      <c r="Y127" s="25">
        <v>105</v>
      </c>
      <c r="Z127" s="25">
        <v>45</v>
      </c>
      <c r="AA127" s="25">
        <v>15</v>
      </c>
      <c r="AB127" s="25">
        <v>10</v>
      </c>
      <c r="AC127" s="25">
        <v>80</v>
      </c>
      <c r="AD127" s="25">
        <v>110</v>
      </c>
      <c r="AE127" s="25">
        <v>25</v>
      </c>
      <c r="AF127" s="25">
        <v>35</v>
      </c>
      <c r="AG127" s="25">
        <v>295</v>
      </c>
      <c r="AH127" s="25">
        <v>395</v>
      </c>
      <c r="AI127" s="25" t="s">
        <v>94</v>
      </c>
      <c r="AJ127" s="25" t="s">
        <v>89</v>
      </c>
      <c r="AK127" s="32">
        <f t="shared" si="9"/>
        <v>170</v>
      </c>
      <c r="AL127" s="32">
        <f t="shared" si="10"/>
        <v>150</v>
      </c>
      <c r="AM127" s="32">
        <f t="shared" si="11"/>
        <v>845</v>
      </c>
      <c r="AN127" s="32">
        <f t="shared" si="12"/>
        <v>885</v>
      </c>
      <c r="AO127" s="34">
        <f t="shared" si="13"/>
        <v>1.1333333333333333</v>
      </c>
      <c r="AP127" s="34">
        <f t="shared" si="14"/>
        <v>0.95480225988700562</v>
      </c>
      <c r="AQ127" s="33">
        <f t="shared" si="15"/>
        <v>1085</v>
      </c>
      <c r="AR127" s="37">
        <f t="shared" si="16"/>
        <v>320</v>
      </c>
      <c r="AS127" s="37">
        <f t="shared" si="17"/>
        <v>1730</v>
      </c>
    </row>
    <row r="128" spans="1:45" x14ac:dyDescent="0.25">
      <c r="A128" s="26" t="s">
        <v>342</v>
      </c>
      <c r="B128" t="s">
        <v>343</v>
      </c>
      <c r="C128" s="25">
        <v>0</v>
      </c>
      <c r="D128" s="25">
        <v>0</v>
      </c>
      <c r="E128" s="25">
        <v>5.05</v>
      </c>
      <c r="F128" s="25">
        <v>5.05</v>
      </c>
      <c r="G128" s="25">
        <v>5.05</v>
      </c>
      <c r="H128" s="25">
        <v>0</v>
      </c>
      <c r="I128" s="25">
        <v>20.2</v>
      </c>
      <c r="J128" s="25">
        <v>10.1</v>
      </c>
      <c r="K128" s="25">
        <v>5.05</v>
      </c>
      <c r="L128" s="25">
        <v>0</v>
      </c>
      <c r="M128" s="25">
        <v>60.59</v>
      </c>
      <c r="N128" s="25">
        <v>40.39</v>
      </c>
      <c r="O128" s="25">
        <v>0</v>
      </c>
      <c r="P128" s="25">
        <v>5.05</v>
      </c>
      <c r="Q128" s="25">
        <v>45.44</v>
      </c>
      <c r="R128" s="25">
        <v>60.59</v>
      </c>
      <c r="S128" s="25">
        <v>0</v>
      </c>
      <c r="T128" s="25">
        <v>10.1</v>
      </c>
      <c r="U128" s="25">
        <v>40.39</v>
      </c>
      <c r="V128" s="25">
        <v>80.790000000000006</v>
      </c>
      <c r="W128" s="25">
        <v>15.15</v>
      </c>
      <c r="X128" s="25">
        <v>10.1</v>
      </c>
      <c r="Y128" s="25">
        <v>50.49</v>
      </c>
      <c r="Z128" s="25">
        <v>5.05</v>
      </c>
      <c r="AA128" s="25">
        <v>5.05</v>
      </c>
      <c r="AB128" s="25">
        <v>0</v>
      </c>
      <c r="AC128" s="25">
        <v>116.13</v>
      </c>
      <c r="AD128" s="25">
        <v>100.98</v>
      </c>
      <c r="AE128" s="25">
        <v>0</v>
      </c>
      <c r="AF128" s="25">
        <v>5.05</v>
      </c>
      <c r="AG128" s="25">
        <v>111.08</v>
      </c>
      <c r="AH128" s="25">
        <v>80.790000000000006</v>
      </c>
      <c r="AI128" s="25" t="s">
        <v>88</v>
      </c>
      <c r="AJ128" s="25" t="s">
        <v>89</v>
      </c>
      <c r="AK128" s="32">
        <f t="shared" si="9"/>
        <v>30.3</v>
      </c>
      <c r="AL128" s="32">
        <f t="shared" si="10"/>
        <v>30.3</v>
      </c>
      <c r="AM128" s="32">
        <f t="shared" si="11"/>
        <v>449.37</v>
      </c>
      <c r="AN128" s="32">
        <f t="shared" si="12"/>
        <v>383.74000000000007</v>
      </c>
      <c r="AO128" s="34">
        <f t="shared" si="13"/>
        <v>1</v>
      </c>
      <c r="AP128" s="34">
        <f t="shared" si="14"/>
        <v>1.1710272580392973</v>
      </c>
      <c r="AQ128" s="33">
        <f t="shared" si="15"/>
        <v>474.63000000000011</v>
      </c>
      <c r="AR128" s="37">
        <f t="shared" si="16"/>
        <v>60.6</v>
      </c>
      <c r="AS128" s="37">
        <f t="shared" si="17"/>
        <v>833.11000000000013</v>
      </c>
    </row>
    <row r="129" spans="1:45" x14ac:dyDescent="0.25">
      <c r="A129" s="26" t="s">
        <v>344</v>
      </c>
      <c r="B129" t="s">
        <v>345</v>
      </c>
      <c r="C129" s="25">
        <v>0</v>
      </c>
      <c r="D129" s="25">
        <v>0</v>
      </c>
      <c r="E129" s="25">
        <v>2.65</v>
      </c>
      <c r="F129" s="25">
        <v>0</v>
      </c>
      <c r="G129" s="25">
        <v>48.18</v>
      </c>
      <c r="H129" s="25">
        <v>14.4</v>
      </c>
      <c r="I129" s="25">
        <v>164.47</v>
      </c>
      <c r="J129" s="25">
        <v>66.260000000000005</v>
      </c>
      <c r="K129" s="25">
        <v>405.05</v>
      </c>
      <c r="L129" s="25">
        <v>309.56</v>
      </c>
      <c r="M129" s="25">
        <v>1965.54</v>
      </c>
      <c r="N129" s="25">
        <v>1279.99</v>
      </c>
      <c r="O129" s="25">
        <v>94.24</v>
      </c>
      <c r="P129" s="25">
        <v>116.65</v>
      </c>
      <c r="Q129" s="25">
        <v>738.72</v>
      </c>
      <c r="R129" s="25">
        <v>959</v>
      </c>
      <c r="S129" s="25">
        <v>43.43</v>
      </c>
      <c r="T129" s="25">
        <v>202.47</v>
      </c>
      <c r="U129" s="25">
        <v>273.29000000000002</v>
      </c>
      <c r="V129" s="25">
        <v>722.64</v>
      </c>
      <c r="W129" s="25">
        <v>129.41</v>
      </c>
      <c r="X129" s="25">
        <v>45.94</v>
      </c>
      <c r="Y129" s="25">
        <v>258.60000000000002</v>
      </c>
      <c r="Z129" s="25">
        <v>57.31</v>
      </c>
      <c r="AA129" s="25">
        <v>142.85</v>
      </c>
      <c r="AB129" s="25">
        <v>171.6</v>
      </c>
      <c r="AC129" s="25">
        <v>1088.0899999999999</v>
      </c>
      <c r="AD129" s="25">
        <v>1630.02</v>
      </c>
      <c r="AE129" s="25">
        <v>207.91</v>
      </c>
      <c r="AF129" s="25">
        <v>293.99</v>
      </c>
      <c r="AG129" s="25">
        <v>2741.39</v>
      </c>
      <c r="AH129" s="25">
        <v>2246.6</v>
      </c>
      <c r="AI129" s="25" t="s">
        <v>88</v>
      </c>
      <c r="AJ129" s="25" t="s">
        <v>89</v>
      </c>
      <c r="AK129" s="32">
        <f t="shared" si="9"/>
        <v>1071.07</v>
      </c>
      <c r="AL129" s="32">
        <f t="shared" si="10"/>
        <v>1154.6100000000001</v>
      </c>
      <c r="AM129" s="32">
        <f t="shared" si="11"/>
        <v>7232.75</v>
      </c>
      <c r="AN129" s="32">
        <f t="shared" si="12"/>
        <v>6961.82</v>
      </c>
      <c r="AO129" s="34">
        <f t="shared" si="13"/>
        <v>0.92764656464087425</v>
      </c>
      <c r="AP129" s="34">
        <f t="shared" si="14"/>
        <v>1.03891654768437</v>
      </c>
      <c r="AQ129" s="33">
        <f t="shared" si="15"/>
        <v>7897.8</v>
      </c>
      <c r="AR129" s="37">
        <f t="shared" si="16"/>
        <v>2225.6800000000003</v>
      </c>
      <c r="AS129" s="37">
        <f t="shared" si="17"/>
        <v>14194.57</v>
      </c>
    </row>
    <row r="130" spans="1:45" x14ac:dyDescent="0.25">
      <c r="A130" s="26" t="s">
        <v>346</v>
      </c>
      <c r="B130" t="s">
        <v>347</v>
      </c>
      <c r="C130" s="25">
        <v>0</v>
      </c>
      <c r="D130" s="25">
        <v>0</v>
      </c>
      <c r="E130" s="25">
        <v>0</v>
      </c>
      <c r="F130" s="25">
        <v>0</v>
      </c>
      <c r="G130" s="25">
        <v>0</v>
      </c>
      <c r="H130" s="25">
        <v>0</v>
      </c>
      <c r="I130" s="25">
        <v>4.9000000000000004</v>
      </c>
      <c r="J130" s="25">
        <v>0</v>
      </c>
      <c r="K130" s="25">
        <v>4.9000000000000004</v>
      </c>
      <c r="L130" s="25">
        <v>0</v>
      </c>
      <c r="M130" s="25">
        <v>19.59</v>
      </c>
      <c r="N130" s="25">
        <v>9.8000000000000007</v>
      </c>
      <c r="O130" s="25">
        <v>0</v>
      </c>
      <c r="P130" s="25">
        <v>0</v>
      </c>
      <c r="Q130" s="25">
        <v>9.8000000000000007</v>
      </c>
      <c r="R130" s="25">
        <v>9.8000000000000007</v>
      </c>
      <c r="S130" s="25">
        <v>0</v>
      </c>
      <c r="T130" s="25">
        <v>0</v>
      </c>
      <c r="U130" s="25">
        <v>0</v>
      </c>
      <c r="V130" s="25">
        <v>34.29</v>
      </c>
      <c r="W130" s="25">
        <v>9.8000000000000007</v>
      </c>
      <c r="X130" s="25">
        <v>4.9000000000000004</v>
      </c>
      <c r="Y130" s="25">
        <v>0</v>
      </c>
      <c r="Z130" s="25">
        <v>0</v>
      </c>
      <c r="AA130" s="25">
        <v>0</v>
      </c>
      <c r="AB130" s="25">
        <v>0</v>
      </c>
      <c r="AC130" s="25">
        <v>19.59</v>
      </c>
      <c r="AD130" s="25">
        <v>19.59</v>
      </c>
      <c r="AE130" s="25">
        <v>0</v>
      </c>
      <c r="AF130" s="25">
        <v>0</v>
      </c>
      <c r="AG130" s="25">
        <v>34.29</v>
      </c>
      <c r="AH130" s="25">
        <v>24.49</v>
      </c>
      <c r="AI130" s="25" t="s">
        <v>94</v>
      </c>
      <c r="AJ130" s="25" t="s">
        <v>89</v>
      </c>
      <c r="AK130" s="32">
        <f t="shared" si="9"/>
        <v>14.700000000000001</v>
      </c>
      <c r="AL130" s="32">
        <f t="shared" si="10"/>
        <v>4.9000000000000004</v>
      </c>
      <c r="AM130" s="32">
        <f t="shared" si="11"/>
        <v>88.170000000000016</v>
      </c>
      <c r="AN130" s="32">
        <f t="shared" si="12"/>
        <v>97.97</v>
      </c>
      <c r="AO130" s="34">
        <f t="shared" si="13"/>
        <v>3</v>
      </c>
      <c r="AP130" s="34">
        <f t="shared" si="14"/>
        <v>0.89996937838113722</v>
      </c>
      <c r="AQ130" s="33">
        <f t="shared" si="15"/>
        <v>107.77999999999999</v>
      </c>
      <c r="AR130" s="37">
        <f t="shared" si="16"/>
        <v>19.600000000000001</v>
      </c>
      <c r="AS130" s="37">
        <f t="shared" si="17"/>
        <v>186.14000000000001</v>
      </c>
    </row>
    <row r="131" spans="1:45" x14ac:dyDescent="0.25">
      <c r="A131" s="26" t="s">
        <v>348</v>
      </c>
      <c r="B131" t="s">
        <v>349</v>
      </c>
      <c r="C131" s="25">
        <v>0</v>
      </c>
      <c r="D131" s="25">
        <v>0</v>
      </c>
      <c r="E131" s="25">
        <v>0</v>
      </c>
      <c r="F131" s="25">
        <v>0</v>
      </c>
      <c r="G131" s="25">
        <v>109.7</v>
      </c>
      <c r="H131" s="25">
        <v>23.82</v>
      </c>
      <c r="I131" s="25">
        <v>324.64999999999998</v>
      </c>
      <c r="J131" s="25">
        <v>88.93</v>
      </c>
      <c r="K131" s="25">
        <v>780.23</v>
      </c>
      <c r="L131" s="25">
        <v>434.44</v>
      </c>
      <c r="M131" s="25">
        <v>3582.64</v>
      </c>
      <c r="N131" s="25">
        <v>2449.4299999999998</v>
      </c>
      <c r="O131" s="25">
        <v>268.62</v>
      </c>
      <c r="P131" s="25">
        <v>247.44</v>
      </c>
      <c r="Q131" s="25">
        <v>1960.91</v>
      </c>
      <c r="R131" s="25">
        <v>2198.65</v>
      </c>
      <c r="S131" s="25">
        <v>224.16</v>
      </c>
      <c r="T131" s="25">
        <v>667.74</v>
      </c>
      <c r="U131" s="25">
        <v>988.36</v>
      </c>
      <c r="V131" s="25">
        <v>1973.79</v>
      </c>
      <c r="W131" s="25">
        <v>428.96</v>
      </c>
      <c r="X131" s="25">
        <v>132.06</v>
      </c>
      <c r="Y131" s="25">
        <v>841.94</v>
      </c>
      <c r="Z131" s="25">
        <v>212.5</v>
      </c>
      <c r="AA131" s="25">
        <v>340.78</v>
      </c>
      <c r="AB131" s="25">
        <v>268.88</v>
      </c>
      <c r="AC131" s="25">
        <v>2007.05</v>
      </c>
      <c r="AD131" s="25">
        <v>2881.09</v>
      </c>
      <c r="AE131" s="25">
        <v>636.65</v>
      </c>
      <c r="AF131" s="25">
        <v>752.87</v>
      </c>
      <c r="AG131" s="25">
        <v>5529.76</v>
      </c>
      <c r="AH131" s="25">
        <v>5163.82</v>
      </c>
      <c r="AI131" s="25" t="s">
        <v>88</v>
      </c>
      <c r="AJ131" s="25" t="s">
        <v>89</v>
      </c>
      <c r="AK131" s="32">
        <f t="shared" ref="AK131:AK194" si="18">C131+G131+K131+O131+S131+W131+AA131+AE131</f>
        <v>2789.1000000000004</v>
      </c>
      <c r="AL131" s="32">
        <f t="shared" ref="AL131:AL194" si="19">D131+H131+L131+P131+T131+X131+AB131+AF131</f>
        <v>2527.25</v>
      </c>
      <c r="AM131" s="32">
        <f t="shared" ref="AM131:AM194" si="20">E131+I131+M131+Q131+U131+Y131+AC131+AG131</f>
        <v>15235.31</v>
      </c>
      <c r="AN131" s="32">
        <f t="shared" ref="AN131:AN194" si="21">F131+J131+N131+R131+V131+Z131+AD131+AH131</f>
        <v>14968.21</v>
      </c>
      <c r="AO131" s="34">
        <f t="shared" ref="AO131:AO194" si="22">IFERROR(AK131/AL131,0)</f>
        <v>1.1036106439806115</v>
      </c>
      <c r="AP131" s="34">
        <f t="shared" ref="AP131:AP194" si="23">IFERROR(AM131/AN131,0)</f>
        <v>1.0178444850787103</v>
      </c>
      <c r="AQ131" s="33">
        <f t="shared" ref="AQ131:AQ194" si="24">SUM(C131:Z131)</f>
        <v>17938.969999999998</v>
      </c>
      <c r="AR131" s="37">
        <f t="shared" ref="AR131:AR194" si="25">AK131+AL131</f>
        <v>5316.35</v>
      </c>
      <c r="AS131" s="37">
        <f t="shared" ref="AS131:AS194" si="26">AM131+AN131</f>
        <v>30203.519999999997</v>
      </c>
    </row>
    <row r="132" spans="1:45" x14ac:dyDescent="0.25">
      <c r="A132" s="26" t="s">
        <v>350</v>
      </c>
      <c r="B132" t="s">
        <v>351</v>
      </c>
      <c r="C132" s="25">
        <v>0</v>
      </c>
      <c r="D132" s="25">
        <v>0</v>
      </c>
      <c r="E132" s="25">
        <v>0</v>
      </c>
      <c r="F132" s="25">
        <v>0</v>
      </c>
      <c r="G132" s="25">
        <v>89.44</v>
      </c>
      <c r="H132" s="25">
        <v>14.91</v>
      </c>
      <c r="I132" s="25">
        <v>144.12</v>
      </c>
      <c r="J132" s="25">
        <v>54.72</v>
      </c>
      <c r="K132" s="25">
        <v>34.78</v>
      </c>
      <c r="L132" s="25">
        <v>14.91</v>
      </c>
      <c r="M132" s="25">
        <v>283.20999999999998</v>
      </c>
      <c r="N132" s="25">
        <v>203.72</v>
      </c>
      <c r="O132" s="25">
        <v>79.5</v>
      </c>
      <c r="P132" s="25">
        <v>59.62</v>
      </c>
      <c r="Q132" s="25">
        <v>372.65</v>
      </c>
      <c r="R132" s="25">
        <v>581.34</v>
      </c>
      <c r="S132" s="25">
        <v>29.81</v>
      </c>
      <c r="T132" s="25">
        <v>213.65</v>
      </c>
      <c r="U132" s="25">
        <v>263.43</v>
      </c>
      <c r="V132" s="25">
        <v>546.71</v>
      </c>
      <c r="W132" s="25">
        <v>149.06</v>
      </c>
      <c r="X132" s="25">
        <v>24.84</v>
      </c>
      <c r="Y132" s="25">
        <v>322.95999999999998</v>
      </c>
      <c r="Z132" s="25">
        <v>59.62</v>
      </c>
      <c r="AA132" s="25">
        <v>248.47</v>
      </c>
      <c r="AB132" s="25">
        <v>163.97</v>
      </c>
      <c r="AC132" s="25">
        <v>561.59</v>
      </c>
      <c r="AD132" s="25">
        <v>621.15</v>
      </c>
      <c r="AE132" s="25">
        <v>19.87</v>
      </c>
      <c r="AF132" s="25">
        <v>149.09</v>
      </c>
      <c r="AG132" s="25">
        <v>984.02</v>
      </c>
      <c r="AH132" s="25">
        <v>1098.33</v>
      </c>
      <c r="AI132" s="25" t="s">
        <v>101</v>
      </c>
      <c r="AJ132" s="25" t="s">
        <v>89</v>
      </c>
      <c r="AK132" s="32">
        <f t="shared" si="18"/>
        <v>650.93000000000006</v>
      </c>
      <c r="AL132" s="32">
        <f t="shared" si="19"/>
        <v>640.99</v>
      </c>
      <c r="AM132" s="32">
        <f t="shared" si="20"/>
        <v>2931.98</v>
      </c>
      <c r="AN132" s="32">
        <f t="shared" si="21"/>
        <v>3165.5899999999997</v>
      </c>
      <c r="AO132" s="34">
        <f t="shared" si="22"/>
        <v>1.0155072622037786</v>
      </c>
      <c r="AP132" s="34">
        <f t="shared" si="23"/>
        <v>0.92620333018489454</v>
      </c>
      <c r="AQ132" s="33">
        <f t="shared" si="24"/>
        <v>3543</v>
      </c>
      <c r="AR132" s="37">
        <f t="shared" si="25"/>
        <v>1291.92</v>
      </c>
      <c r="AS132" s="37">
        <f t="shared" si="26"/>
        <v>6097.57</v>
      </c>
    </row>
    <row r="133" spans="1:45" x14ac:dyDescent="0.25">
      <c r="A133" s="26" t="s">
        <v>352</v>
      </c>
      <c r="B133" t="s">
        <v>353</v>
      </c>
      <c r="C133" s="25">
        <v>0</v>
      </c>
      <c r="D133" s="25">
        <v>0</v>
      </c>
      <c r="E133" s="25">
        <v>5.13</v>
      </c>
      <c r="F133" s="25">
        <v>5.13</v>
      </c>
      <c r="G133" s="25">
        <v>4.37</v>
      </c>
      <c r="H133" s="25">
        <v>0</v>
      </c>
      <c r="I133" s="25">
        <v>0</v>
      </c>
      <c r="J133" s="25">
        <v>5.13</v>
      </c>
      <c r="K133" s="25">
        <v>9.17</v>
      </c>
      <c r="L133" s="25">
        <v>0</v>
      </c>
      <c r="M133" s="25">
        <v>42.94</v>
      </c>
      <c r="N133" s="25">
        <v>4.74</v>
      </c>
      <c r="O133" s="25">
        <v>0</v>
      </c>
      <c r="P133" s="25">
        <v>8.1</v>
      </c>
      <c r="Q133" s="25">
        <v>32.17</v>
      </c>
      <c r="R133" s="25">
        <v>73.010000000000005</v>
      </c>
      <c r="S133" s="25">
        <v>0</v>
      </c>
      <c r="T133" s="25">
        <v>9.8699999999999992</v>
      </c>
      <c r="U133" s="25">
        <v>14.64</v>
      </c>
      <c r="V133" s="25">
        <v>39.6</v>
      </c>
      <c r="W133" s="25">
        <v>4.37</v>
      </c>
      <c r="X133" s="25">
        <v>4.37</v>
      </c>
      <c r="Y133" s="25">
        <v>35.950000000000003</v>
      </c>
      <c r="Z133" s="25">
        <v>5.13</v>
      </c>
      <c r="AA133" s="25">
        <v>0</v>
      </c>
      <c r="AB133" s="25">
        <v>0</v>
      </c>
      <c r="AC133" s="25">
        <v>51.74</v>
      </c>
      <c r="AD133" s="25">
        <v>58.58</v>
      </c>
      <c r="AE133" s="25">
        <v>4.37</v>
      </c>
      <c r="AF133" s="25">
        <v>5.13</v>
      </c>
      <c r="AG133" s="25">
        <v>67.75</v>
      </c>
      <c r="AH133" s="25">
        <v>58.07</v>
      </c>
      <c r="AI133" s="25" t="s">
        <v>94</v>
      </c>
      <c r="AJ133" s="25" t="s">
        <v>89</v>
      </c>
      <c r="AK133" s="32">
        <f t="shared" si="18"/>
        <v>22.28</v>
      </c>
      <c r="AL133" s="32">
        <f t="shared" si="19"/>
        <v>27.47</v>
      </c>
      <c r="AM133" s="32">
        <f t="shared" si="20"/>
        <v>250.32000000000002</v>
      </c>
      <c r="AN133" s="32">
        <f t="shared" si="21"/>
        <v>249.39</v>
      </c>
      <c r="AO133" s="34">
        <f t="shared" si="22"/>
        <v>0.81106661812886793</v>
      </c>
      <c r="AP133" s="34">
        <f t="shared" si="23"/>
        <v>1.0037290990015639</v>
      </c>
      <c r="AQ133" s="33">
        <f t="shared" si="24"/>
        <v>303.81999999999994</v>
      </c>
      <c r="AR133" s="37">
        <f t="shared" si="25"/>
        <v>49.75</v>
      </c>
      <c r="AS133" s="37">
        <f t="shared" si="26"/>
        <v>499.71000000000004</v>
      </c>
    </row>
    <row r="134" spans="1:45" x14ac:dyDescent="0.25">
      <c r="A134" s="26" t="s">
        <v>354</v>
      </c>
      <c r="B134" t="s">
        <v>355</v>
      </c>
      <c r="C134" s="25">
        <v>0</v>
      </c>
      <c r="D134" s="25">
        <v>0</v>
      </c>
      <c r="E134" s="25">
        <v>4.91</v>
      </c>
      <c r="F134" s="25">
        <v>0</v>
      </c>
      <c r="G134" s="25">
        <v>14.73</v>
      </c>
      <c r="H134" s="25">
        <v>14.73</v>
      </c>
      <c r="I134" s="25">
        <v>29.45</v>
      </c>
      <c r="J134" s="25">
        <v>9.82</v>
      </c>
      <c r="K134" s="25">
        <v>14.73</v>
      </c>
      <c r="L134" s="25">
        <v>19.64</v>
      </c>
      <c r="M134" s="25">
        <v>370.26</v>
      </c>
      <c r="N134" s="25">
        <v>194.55</v>
      </c>
      <c r="O134" s="25">
        <v>29.45</v>
      </c>
      <c r="P134" s="25">
        <v>29.45</v>
      </c>
      <c r="Q134" s="25">
        <v>225.82</v>
      </c>
      <c r="R134" s="25">
        <v>348.54</v>
      </c>
      <c r="S134" s="25">
        <v>14.73</v>
      </c>
      <c r="T134" s="25">
        <v>49.09</v>
      </c>
      <c r="U134" s="25">
        <v>166.91</v>
      </c>
      <c r="V134" s="25">
        <v>272.06</v>
      </c>
      <c r="W134" s="25">
        <v>44.18</v>
      </c>
      <c r="X134" s="25">
        <v>14.73</v>
      </c>
      <c r="Y134" s="25">
        <v>132.72999999999999</v>
      </c>
      <c r="Z134" s="25">
        <v>29.45</v>
      </c>
      <c r="AA134" s="25">
        <v>24.55</v>
      </c>
      <c r="AB134" s="25">
        <v>9.82</v>
      </c>
      <c r="AC134" s="25">
        <v>333.82</v>
      </c>
      <c r="AD134" s="25">
        <v>407.45</v>
      </c>
      <c r="AE134" s="25">
        <v>39.270000000000003</v>
      </c>
      <c r="AF134" s="25">
        <v>58.91</v>
      </c>
      <c r="AG134" s="25">
        <v>589.17999999999995</v>
      </c>
      <c r="AH134" s="25">
        <v>608.82000000000005</v>
      </c>
      <c r="AI134" s="25" t="s">
        <v>88</v>
      </c>
      <c r="AJ134" s="25" t="s">
        <v>89</v>
      </c>
      <c r="AK134" s="32">
        <f t="shared" si="18"/>
        <v>181.64000000000001</v>
      </c>
      <c r="AL134" s="32">
        <f t="shared" si="19"/>
        <v>196.37</v>
      </c>
      <c r="AM134" s="32">
        <f t="shared" si="20"/>
        <v>1853.08</v>
      </c>
      <c r="AN134" s="32">
        <f t="shared" si="21"/>
        <v>1870.69</v>
      </c>
      <c r="AO134" s="34">
        <f t="shared" si="22"/>
        <v>0.92498854203798953</v>
      </c>
      <c r="AP134" s="34">
        <f t="shared" si="23"/>
        <v>0.99058636118223753</v>
      </c>
      <c r="AQ134" s="33">
        <f t="shared" si="24"/>
        <v>2029.96</v>
      </c>
      <c r="AR134" s="37">
        <f t="shared" si="25"/>
        <v>378.01</v>
      </c>
      <c r="AS134" s="37">
        <f t="shared" si="26"/>
        <v>3723.77</v>
      </c>
    </row>
    <row r="135" spans="1:45" x14ac:dyDescent="0.25">
      <c r="A135" s="26" t="s">
        <v>356</v>
      </c>
      <c r="B135" t="s">
        <v>357</v>
      </c>
      <c r="C135" s="25">
        <v>0</v>
      </c>
      <c r="D135" s="25">
        <v>0</v>
      </c>
      <c r="E135" s="25">
        <v>5.26</v>
      </c>
      <c r="F135" s="25">
        <v>0</v>
      </c>
      <c r="G135" s="25">
        <v>0</v>
      </c>
      <c r="H135" s="25">
        <v>0</v>
      </c>
      <c r="I135" s="25">
        <v>15.67</v>
      </c>
      <c r="J135" s="25">
        <v>5.05</v>
      </c>
      <c r="K135" s="25">
        <v>0</v>
      </c>
      <c r="L135" s="25">
        <v>0</v>
      </c>
      <c r="M135" s="25">
        <v>5.26</v>
      </c>
      <c r="N135" s="25">
        <v>5.15</v>
      </c>
      <c r="O135" s="25">
        <v>0</v>
      </c>
      <c r="P135" s="25">
        <v>0</v>
      </c>
      <c r="Q135" s="25">
        <v>20.61</v>
      </c>
      <c r="R135" s="25">
        <v>25.86</v>
      </c>
      <c r="S135" s="25">
        <v>0</v>
      </c>
      <c r="T135" s="25">
        <v>0</v>
      </c>
      <c r="U135" s="25">
        <v>10.62</v>
      </c>
      <c r="V135" s="25">
        <v>26.08</v>
      </c>
      <c r="W135" s="25">
        <v>0</v>
      </c>
      <c r="X135" s="25">
        <v>0</v>
      </c>
      <c r="Y135" s="25">
        <v>25.76</v>
      </c>
      <c r="Z135" s="25">
        <v>15.78</v>
      </c>
      <c r="AA135" s="25">
        <v>0</v>
      </c>
      <c r="AB135" s="25">
        <v>0</v>
      </c>
      <c r="AC135" s="25">
        <v>20.09</v>
      </c>
      <c r="AD135" s="25">
        <v>25.04</v>
      </c>
      <c r="AE135" s="25">
        <v>0</v>
      </c>
      <c r="AF135" s="25">
        <v>0</v>
      </c>
      <c r="AG135" s="25">
        <v>68.14</v>
      </c>
      <c r="AH135" s="25">
        <v>52.79</v>
      </c>
      <c r="AI135" s="25" t="s">
        <v>88</v>
      </c>
      <c r="AJ135" s="25" t="s">
        <v>89</v>
      </c>
      <c r="AK135" s="32">
        <f t="shared" si="18"/>
        <v>0</v>
      </c>
      <c r="AL135" s="32">
        <f t="shared" si="19"/>
        <v>0</v>
      </c>
      <c r="AM135" s="32">
        <f t="shared" si="20"/>
        <v>171.41</v>
      </c>
      <c r="AN135" s="32">
        <f t="shared" si="21"/>
        <v>155.75</v>
      </c>
      <c r="AO135" s="34">
        <f t="shared" si="22"/>
        <v>0</v>
      </c>
      <c r="AP135" s="34">
        <f t="shared" si="23"/>
        <v>1.1005457463884429</v>
      </c>
      <c r="AQ135" s="33">
        <f t="shared" si="24"/>
        <v>161.1</v>
      </c>
      <c r="AR135" s="37">
        <f t="shared" si="25"/>
        <v>0</v>
      </c>
      <c r="AS135" s="37">
        <f t="shared" si="26"/>
        <v>327.15999999999997</v>
      </c>
    </row>
    <row r="136" spans="1:45" x14ac:dyDescent="0.25">
      <c r="A136" s="26" t="s">
        <v>358</v>
      </c>
      <c r="B136" t="s">
        <v>359</v>
      </c>
      <c r="C136" s="25">
        <v>0</v>
      </c>
      <c r="D136" s="25">
        <v>0</v>
      </c>
      <c r="E136" s="25">
        <v>0</v>
      </c>
      <c r="F136" s="25">
        <v>0</v>
      </c>
      <c r="G136" s="25">
        <v>0</v>
      </c>
      <c r="H136" s="25">
        <v>0</v>
      </c>
      <c r="I136" s="25">
        <v>10</v>
      </c>
      <c r="J136" s="25">
        <v>0</v>
      </c>
      <c r="K136" s="25">
        <v>0</v>
      </c>
      <c r="L136" s="25">
        <v>0</v>
      </c>
      <c r="M136" s="25">
        <v>10</v>
      </c>
      <c r="N136" s="25">
        <v>10</v>
      </c>
      <c r="O136" s="25">
        <v>0</v>
      </c>
      <c r="P136" s="25">
        <v>0</v>
      </c>
      <c r="Q136" s="25">
        <v>20</v>
      </c>
      <c r="R136" s="25">
        <v>20</v>
      </c>
      <c r="S136" s="25">
        <v>0</v>
      </c>
      <c r="T136" s="25">
        <v>0</v>
      </c>
      <c r="U136" s="25">
        <v>5</v>
      </c>
      <c r="V136" s="25">
        <v>15</v>
      </c>
      <c r="W136" s="25">
        <v>0</v>
      </c>
      <c r="X136" s="25">
        <v>0</v>
      </c>
      <c r="Y136" s="25">
        <v>20</v>
      </c>
      <c r="Z136" s="25">
        <v>10</v>
      </c>
      <c r="AA136" s="25">
        <v>0</v>
      </c>
      <c r="AB136" s="25">
        <v>0</v>
      </c>
      <c r="AC136" s="25">
        <v>30</v>
      </c>
      <c r="AD136" s="25">
        <v>30</v>
      </c>
      <c r="AE136" s="25">
        <v>0</v>
      </c>
      <c r="AF136" s="25">
        <v>0</v>
      </c>
      <c r="AG136" s="25">
        <v>20</v>
      </c>
      <c r="AH136" s="25">
        <v>55</v>
      </c>
      <c r="AI136" s="25" t="s">
        <v>94</v>
      </c>
      <c r="AJ136" s="25" t="s">
        <v>89</v>
      </c>
      <c r="AK136" s="32">
        <f t="shared" si="18"/>
        <v>0</v>
      </c>
      <c r="AL136" s="32">
        <f t="shared" si="19"/>
        <v>0</v>
      </c>
      <c r="AM136" s="32">
        <f t="shared" si="20"/>
        <v>115</v>
      </c>
      <c r="AN136" s="32">
        <f t="shared" si="21"/>
        <v>140</v>
      </c>
      <c r="AO136" s="34">
        <f t="shared" si="22"/>
        <v>0</v>
      </c>
      <c r="AP136" s="34">
        <f t="shared" si="23"/>
        <v>0.8214285714285714</v>
      </c>
      <c r="AQ136" s="33">
        <f t="shared" si="24"/>
        <v>120</v>
      </c>
      <c r="AR136" s="37">
        <f t="shared" si="25"/>
        <v>0</v>
      </c>
      <c r="AS136" s="37">
        <f t="shared" si="26"/>
        <v>255</v>
      </c>
    </row>
    <row r="137" spans="1:45" x14ac:dyDescent="0.25">
      <c r="A137" s="26" t="s">
        <v>360</v>
      </c>
      <c r="B137" t="s">
        <v>361</v>
      </c>
      <c r="C137" s="25">
        <v>0</v>
      </c>
      <c r="D137" s="25">
        <v>0</v>
      </c>
      <c r="E137" s="25">
        <v>0</v>
      </c>
      <c r="F137" s="25">
        <v>0</v>
      </c>
      <c r="G137" s="25">
        <v>0</v>
      </c>
      <c r="H137" s="25">
        <v>0</v>
      </c>
      <c r="I137" s="25">
        <v>0</v>
      </c>
      <c r="J137" s="25">
        <v>5.16</v>
      </c>
      <c r="K137" s="25">
        <v>5.16</v>
      </c>
      <c r="L137" s="25">
        <v>0</v>
      </c>
      <c r="M137" s="25">
        <v>10.31</v>
      </c>
      <c r="N137" s="25">
        <v>5.16</v>
      </c>
      <c r="O137" s="25">
        <v>5.16</v>
      </c>
      <c r="P137" s="25">
        <v>0</v>
      </c>
      <c r="Q137" s="25">
        <v>36.090000000000003</v>
      </c>
      <c r="R137" s="25">
        <v>36.090000000000003</v>
      </c>
      <c r="S137" s="25">
        <v>0</v>
      </c>
      <c r="T137" s="25">
        <v>0</v>
      </c>
      <c r="U137" s="25">
        <v>0</v>
      </c>
      <c r="V137" s="25">
        <v>20.62</v>
      </c>
      <c r="W137" s="25">
        <v>0</v>
      </c>
      <c r="X137" s="25">
        <v>0</v>
      </c>
      <c r="Y137" s="25">
        <v>15.47</v>
      </c>
      <c r="Z137" s="25">
        <v>0</v>
      </c>
      <c r="AA137" s="25">
        <v>0</v>
      </c>
      <c r="AB137" s="25">
        <v>0</v>
      </c>
      <c r="AC137" s="25">
        <v>30.93</v>
      </c>
      <c r="AD137" s="25">
        <v>30.93</v>
      </c>
      <c r="AE137" s="25">
        <v>0</v>
      </c>
      <c r="AF137" s="25">
        <v>0</v>
      </c>
      <c r="AG137" s="25">
        <v>30.93</v>
      </c>
      <c r="AH137" s="25">
        <v>25.78</v>
      </c>
      <c r="AI137" s="25" t="s">
        <v>88</v>
      </c>
      <c r="AJ137" s="25" t="s">
        <v>89</v>
      </c>
      <c r="AK137" s="32">
        <f t="shared" si="18"/>
        <v>10.32</v>
      </c>
      <c r="AL137" s="32">
        <f t="shared" si="19"/>
        <v>0</v>
      </c>
      <c r="AM137" s="32">
        <f t="shared" si="20"/>
        <v>123.73000000000002</v>
      </c>
      <c r="AN137" s="32">
        <f t="shared" si="21"/>
        <v>123.74000000000001</v>
      </c>
      <c r="AO137" s="34">
        <f t="shared" si="22"/>
        <v>0</v>
      </c>
      <c r="AP137" s="34">
        <f t="shared" si="23"/>
        <v>0.99991918538871838</v>
      </c>
      <c r="AQ137" s="33">
        <f t="shared" si="24"/>
        <v>139.22000000000003</v>
      </c>
      <c r="AR137" s="37">
        <f t="shared" si="25"/>
        <v>10.32</v>
      </c>
      <c r="AS137" s="37">
        <f t="shared" si="26"/>
        <v>247.47000000000003</v>
      </c>
    </row>
    <row r="138" spans="1:45" x14ac:dyDescent="0.25">
      <c r="A138" s="26" t="s">
        <v>362</v>
      </c>
      <c r="B138" t="s">
        <v>363</v>
      </c>
      <c r="C138" s="25">
        <v>0</v>
      </c>
      <c r="D138" s="25">
        <v>0</v>
      </c>
      <c r="E138" s="25">
        <v>15.68</v>
      </c>
      <c r="F138" s="25">
        <v>0</v>
      </c>
      <c r="G138" s="25">
        <v>10.46</v>
      </c>
      <c r="H138" s="25">
        <v>0</v>
      </c>
      <c r="I138" s="25">
        <v>20.91</v>
      </c>
      <c r="J138" s="25">
        <v>31.37</v>
      </c>
      <c r="K138" s="25">
        <v>0</v>
      </c>
      <c r="L138" s="25">
        <v>0</v>
      </c>
      <c r="M138" s="25">
        <v>31.37</v>
      </c>
      <c r="N138" s="25">
        <v>20.91</v>
      </c>
      <c r="O138" s="25">
        <v>20.91</v>
      </c>
      <c r="P138" s="25">
        <v>0</v>
      </c>
      <c r="Q138" s="25">
        <v>167.28</v>
      </c>
      <c r="R138" s="25">
        <v>120.23</v>
      </c>
      <c r="S138" s="25">
        <v>5.23</v>
      </c>
      <c r="T138" s="25">
        <v>41.82</v>
      </c>
      <c r="U138" s="25">
        <v>47.05</v>
      </c>
      <c r="V138" s="25">
        <v>318.88</v>
      </c>
      <c r="W138" s="25">
        <v>26.14</v>
      </c>
      <c r="X138" s="25">
        <v>5.23</v>
      </c>
      <c r="Y138" s="25">
        <v>224.79</v>
      </c>
      <c r="Z138" s="25">
        <v>47.05</v>
      </c>
      <c r="AA138" s="25">
        <v>5.23</v>
      </c>
      <c r="AB138" s="25">
        <v>10.32</v>
      </c>
      <c r="AC138" s="25">
        <v>135.38999999999999</v>
      </c>
      <c r="AD138" s="25">
        <v>223.59</v>
      </c>
      <c r="AE138" s="25">
        <v>31.37</v>
      </c>
      <c r="AF138" s="25">
        <v>20.91</v>
      </c>
      <c r="AG138" s="25">
        <v>355.47</v>
      </c>
      <c r="AH138" s="25">
        <v>282.29000000000002</v>
      </c>
      <c r="AI138" s="25" t="s">
        <v>88</v>
      </c>
      <c r="AJ138" s="25" t="s">
        <v>89</v>
      </c>
      <c r="AK138" s="32">
        <f t="shared" si="18"/>
        <v>99.34</v>
      </c>
      <c r="AL138" s="32">
        <f t="shared" si="19"/>
        <v>78.28</v>
      </c>
      <c r="AM138" s="32">
        <f t="shared" si="20"/>
        <v>997.94</v>
      </c>
      <c r="AN138" s="32">
        <f t="shared" si="21"/>
        <v>1044.32</v>
      </c>
      <c r="AO138" s="34">
        <f t="shared" si="22"/>
        <v>1.2690342360756259</v>
      </c>
      <c r="AP138" s="34">
        <f t="shared" si="23"/>
        <v>0.95558832541749661</v>
      </c>
      <c r="AQ138" s="33">
        <f t="shared" si="24"/>
        <v>1155.31</v>
      </c>
      <c r="AR138" s="37">
        <f t="shared" si="25"/>
        <v>177.62</v>
      </c>
      <c r="AS138" s="37">
        <f t="shared" si="26"/>
        <v>2042.26</v>
      </c>
    </row>
    <row r="139" spans="1:45" x14ac:dyDescent="0.25">
      <c r="A139" s="26" t="s">
        <v>364</v>
      </c>
      <c r="B139" t="s">
        <v>365</v>
      </c>
      <c r="C139" s="25">
        <v>0</v>
      </c>
      <c r="D139" s="25">
        <v>0</v>
      </c>
      <c r="E139" s="25">
        <v>4.95</v>
      </c>
      <c r="F139" s="25">
        <v>0</v>
      </c>
      <c r="G139" s="25">
        <v>45.13</v>
      </c>
      <c r="H139" s="25">
        <v>20.23</v>
      </c>
      <c r="I139" s="25">
        <v>86.02</v>
      </c>
      <c r="J139" s="25">
        <v>25.09</v>
      </c>
      <c r="K139" s="25">
        <v>95.83</v>
      </c>
      <c r="L139" s="25">
        <v>40.46</v>
      </c>
      <c r="M139" s="25">
        <v>383.68</v>
      </c>
      <c r="N139" s="25">
        <v>151.41999999999999</v>
      </c>
      <c r="O139" s="25">
        <v>126.25</v>
      </c>
      <c r="P139" s="25">
        <v>85.83</v>
      </c>
      <c r="Q139" s="25">
        <v>459.29</v>
      </c>
      <c r="R139" s="25">
        <v>605.94000000000005</v>
      </c>
      <c r="S139" s="25">
        <v>70.34</v>
      </c>
      <c r="T139" s="25">
        <v>215.96</v>
      </c>
      <c r="U139" s="25">
        <v>338.55</v>
      </c>
      <c r="V139" s="25">
        <v>747.02</v>
      </c>
      <c r="W139" s="25">
        <v>239.33</v>
      </c>
      <c r="X139" s="25">
        <v>65.319999999999993</v>
      </c>
      <c r="Y139" s="25">
        <v>418.68</v>
      </c>
      <c r="Z139" s="25">
        <v>55.69</v>
      </c>
      <c r="AA139" s="25">
        <v>121.35</v>
      </c>
      <c r="AB139" s="25">
        <v>157.37</v>
      </c>
      <c r="AC139" s="25">
        <v>692.31</v>
      </c>
      <c r="AD139" s="25">
        <v>911.36</v>
      </c>
      <c r="AE139" s="25">
        <v>154.32</v>
      </c>
      <c r="AF139" s="25">
        <v>194.4</v>
      </c>
      <c r="AG139" s="25">
        <v>1145.1300000000001</v>
      </c>
      <c r="AH139" s="25">
        <v>1337.72</v>
      </c>
      <c r="AI139" s="25" t="s">
        <v>88</v>
      </c>
      <c r="AJ139" s="25" t="s">
        <v>89</v>
      </c>
      <c r="AK139" s="32">
        <f t="shared" si="18"/>
        <v>852.55000000000018</v>
      </c>
      <c r="AL139" s="32">
        <f t="shared" si="19"/>
        <v>779.57</v>
      </c>
      <c r="AM139" s="32">
        <f t="shared" si="20"/>
        <v>3528.61</v>
      </c>
      <c r="AN139" s="32">
        <f t="shared" si="21"/>
        <v>3834.24</v>
      </c>
      <c r="AO139" s="34">
        <f t="shared" si="22"/>
        <v>1.0936157112254192</v>
      </c>
      <c r="AP139" s="34">
        <f t="shared" si="23"/>
        <v>0.92028928809881494</v>
      </c>
      <c r="AQ139" s="33">
        <f t="shared" si="24"/>
        <v>4281.01</v>
      </c>
      <c r="AR139" s="37">
        <f t="shared" si="25"/>
        <v>1632.1200000000003</v>
      </c>
      <c r="AS139" s="37">
        <f t="shared" si="26"/>
        <v>7362.85</v>
      </c>
    </row>
    <row r="140" spans="1:45" x14ac:dyDescent="0.25">
      <c r="A140" s="26" t="s">
        <v>366</v>
      </c>
      <c r="B140" t="s">
        <v>367</v>
      </c>
      <c r="C140" s="25">
        <v>0</v>
      </c>
      <c r="D140" s="25">
        <v>0</v>
      </c>
      <c r="E140" s="25">
        <v>4.96</v>
      </c>
      <c r="F140" s="25">
        <v>0</v>
      </c>
      <c r="G140" s="25">
        <v>0</v>
      </c>
      <c r="H140" s="25">
        <v>0</v>
      </c>
      <c r="I140" s="25">
        <v>0</v>
      </c>
      <c r="J140" s="25">
        <v>0</v>
      </c>
      <c r="K140" s="25">
        <v>0</v>
      </c>
      <c r="L140" s="25">
        <v>0</v>
      </c>
      <c r="M140" s="25">
        <v>29.68</v>
      </c>
      <c r="N140" s="25">
        <v>9.83</v>
      </c>
      <c r="O140" s="25">
        <v>0</v>
      </c>
      <c r="P140" s="25">
        <v>0</v>
      </c>
      <c r="Q140" s="25">
        <v>29.68</v>
      </c>
      <c r="R140" s="25">
        <v>39.42</v>
      </c>
      <c r="S140" s="25">
        <v>0</v>
      </c>
      <c r="T140" s="25">
        <v>0</v>
      </c>
      <c r="U140" s="25">
        <v>19.79</v>
      </c>
      <c r="V140" s="25">
        <v>44.65</v>
      </c>
      <c r="W140" s="25">
        <v>0</v>
      </c>
      <c r="X140" s="25">
        <v>0</v>
      </c>
      <c r="Y140" s="25">
        <v>15.07</v>
      </c>
      <c r="Z140" s="25">
        <v>0</v>
      </c>
      <c r="AA140" s="25">
        <v>0</v>
      </c>
      <c r="AB140" s="25">
        <v>0</v>
      </c>
      <c r="AC140" s="25">
        <v>45.49</v>
      </c>
      <c r="AD140" s="25">
        <v>45.58</v>
      </c>
      <c r="AE140" s="25">
        <v>0</v>
      </c>
      <c r="AF140" s="25">
        <v>0</v>
      </c>
      <c r="AG140" s="25">
        <v>48.52</v>
      </c>
      <c r="AH140" s="25">
        <v>49.07</v>
      </c>
      <c r="AI140" s="25" t="s">
        <v>94</v>
      </c>
      <c r="AJ140" s="25" t="s">
        <v>89</v>
      </c>
      <c r="AK140" s="32">
        <f t="shared" si="18"/>
        <v>0</v>
      </c>
      <c r="AL140" s="32">
        <f t="shared" si="19"/>
        <v>0</v>
      </c>
      <c r="AM140" s="32">
        <f t="shared" si="20"/>
        <v>193.19</v>
      </c>
      <c r="AN140" s="32">
        <f t="shared" si="21"/>
        <v>188.55</v>
      </c>
      <c r="AO140" s="34">
        <f t="shared" si="22"/>
        <v>0</v>
      </c>
      <c r="AP140" s="34">
        <f t="shared" si="23"/>
        <v>1.0246088570670908</v>
      </c>
      <c r="AQ140" s="33">
        <f t="shared" si="24"/>
        <v>193.08</v>
      </c>
      <c r="AR140" s="37">
        <f t="shared" si="25"/>
        <v>0</v>
      </c>
      <c r="AS140" s="37">
        <f t="shared" si="26"/>
        <v>381.74</v>
      </c>
    </row>
    <row r="141" spans="1:45" x14ac:dyDescent="0.25">
      <c r="A141" s="26" t="s">
        <v>368</v>
      </c>
      <c r="B141" t="s">
        <v>369</v>
      </c>
      <c r="C141" s="25">
        <v>0</v>
      </c>
      <c r="D141" s="25">
        <v>0</v>
      </c>
      <c r="E141" s="25">
        <v>1</v>
      </c>
      <c r="F141" s="25">
        <v>0</v>
      </c>
      <c r="G141" s="25">
        <v>282.08</v>
      </c>
      <c r="H141" s="25">
        <v>26.76</v>
      </c>
      <c r="I141" s="25">
        <v>214.05</v>
      </c>
      <c r="J141" s="25">
        <v>78.52</v>
      </c>
      <c r="K141" s="25">
        <v>233.31</v>
      </c>
      <c r="L141" s="25">
        <v>151.06</v>
      </c>
      <c r="M141" s="25">
        <v>845.46</v>
      </c>
      <c r="N141" s="25">
        <v>576.15</v>
      </c>
      <c r="O141" s="25">
        <v>409.69</v>
      </c>
      <c r="P141" s="25">
        <v>392.89</v>
      </c>
      <c r="Q141" s="25">
        <v>1309.0899999999999</v>
      </c>
      <c r="R141" s="25">
        <v>1517.54</v>
      </c>
      <c r="S141" s="25">
        <v>404.3</v>
      </c>
      <c r="T141" s="25">
        <v>1089.9100000000001</v>
      </c>
      <c r="U141" s="25">
        <v>774.65</v>
      </c>
      <c r="V141" s="25">
        <v>2351.38</v>
      </c>
      <c r="W141" s="25">
        <v>1167.51</v>
      </c>
      <c r="X141" s="25">
        <v>234.72</v>
      </c>
      <c r="Y141" s="25">
        <v>1219.29</v>
      </c>
      <c r="Z141" s="25">
        <v>257.87</v>
      </c>
      <c r="AA141" s="25">
        <v>433.49</v>
      </c>
      <c r="AB141" s="25">
        <v>397.63</v>
      </c>
      <c r="AC141" s="25">
        <v>1534.01</v>
      </c>
      <c r="AD141" s="25">
        <v>2113.83</v>
      </c>
      <c r="AE141" s="25">
        <v>563.11</v>
      </c>
      <c r="AF141" s="25">
        <v>1356.19</v>
      </c>
      <c r="AG141" s="25">
        <v>4447.3</v>
      </c>
      <c r="AH141" s="25">
        <v>4841.8500000000004</v>
      </c>
      <c r="AI141" s="25" t="s">
        <v>88</v>
      </c>
      <c r="AJ141" s="25" t="s">
        <v>89</v>
      </c>
      <c r="AK141" s="32">
        <f t="shared" si="18"/>
        <v>3493.4900000000002</v>
      </c>
      <c r="AL141" s="32">
        <f t="shared" si="19"/>
        <v>3649.1600000000003</v>
      </c>
      <c r="AM141" s="32">
        <f t="shared" si="20"/>
        <v>10344.85</v>
      </c>
      <c r="AN141" s="32">
        <f t="shared" si="21"/>
        <v>11737.14</v>
      </c>
      <c r="AO141" s="34">
        <f t="shared" si="22"/>
        <v>0.95734086748731217</v>
      </c>
      <c r="AP141" s="34">
        <f t="shared" si="23"/>
        <v>0.88137740539858955</v>
      </c>
      <c r="AQ141" s="33">
        <f t="shared" si="24"/>
        <v>13537.230000000001</v>
      </c>
      <c r="AR141" s="37">
        <f t="shared" si="25"/>
        <v>7142.6500000000005</v>
      </c>
      <c r="AS141" s="37">
        <f t="shared" si="26"/>
        <v>22081.989999999998</v>
      </c>
    </row>
    <row r="142" spans="1:45" x14ac:dyDescent="0.25">
      <c r="A142" s="26" t="s">
        <v>370</v>
      </c>
      <c r="B142" t="s">
        <v>371</v>
      </c>
      <c r="C142" s="25">
        <v>0</v>
      </c>
      <c r="D142" s="25">
        <v>0</v>
      </c>
      <c r="E142" s="25">
        <v>5.14</v>
      </c>
      <c r="F142" s="25">
        <v>0</v>
      </c>
      <c r="G142" s="25">
        <v>5.14</v>
      </c>
      <c r="H142" s="25">
        <v>0</v>
      </c>
      <c r="I142" s="25">
        <v>46.15</v>
      </c>
      <c r="J142" s="25">
        <v>20.55</v>
      </c>
      <c r="K142" s="25">
        <v>10.23</v>
      </c>
      <c r="L142" s="25">
        <v>0</v>
      </c>
      <c r="M142" s="25">
        <v>92.03</v>
      </c>
      <c r="N142" s="25">
        <v>35.83</v>
      </c>
      <c r="O142" s="25">
        <v>5.14</v>
      </c>
      <c r="P142" s="25">
        <v>0</v>
      </c>
      <c r="Q142" s="25">
        <v>97.39</v>
      </c>
      <c r="R142" s="25">
        <v>138.38999999999999</v>
      </c>
      <c r="S142" s="25">
        <v>0</v>
      </c>
      <c r="T142" s="25">
        <v>5.05</v>
      </c>
      <c r="U142" s="25">
        <v>40.92</v>
      </c>
      <c r="V142" s="25">
        <v>97.04</v>
      </c>
      <c r="W142" s="25">
        <v>10.27</v>
      </c>
      <c r="X142" s="25">
        <v>0</v>
      </c>
      <c r="Y142" s="25">
        <v>66.56</v>
      </c>
      <c r="Z142" s="25">
        <v>20.55</v>
      </c>
      <c r="AA142" s="25">
        <v>10.36</v>
      </c>
      <c r="AB142" s="25">
        <v>10.36</v>
      </c>
      <c r="AC142" s="25">
        <v>118.31</v>
      </c>
      <c r="AD142" s="25">
        <v>117.31</v>
      </c>
      <c r="AE142" s="25">
        <v>0</v>
      </c>
      <c r="AF142" s="25">
        <v>0</v>
      </c>
      <c r="AG142" s="25">
        <v>188.23</v>
      </c>
      <c r="AH142" s="25">
        <v>254.36</v>
      </c>
      <c r="AI142" s="25" t="s">
        <v>94</v>
      </c>
      <c r="AJ142" s="25" t="s">
        <v>89</v>
      </c>
      <c r="AK142" s="32">
        <f t="shared" si="18"/>
        <v>41.14</v>
      </c>
      <c r="AL142" s="32">
        <f t="shared" si="19"/>
        <v>15.41</v>
      </c>
      <c r="AM142" s="32">
        <f t="shared" si="20"/>
        <v>654.73</v>
      </c>
      <c r="AN142" s="32">
        <f t="shared" si="21"/>
        <v>684.03</v>
      </c>
      <c r="AO142" s="34">
        <f t="shared" si="22"/>
        <v>2.6696950032446463</v>
      </c>
      <c r="AP142" s="34">
        <f t="shared" si="23"/>
        <v>0.95716562139087469</v>
      </c>
      <c r="AQ142" s="33">
        <f t="shared" si="24"/>
        <v>696.37999999999988</v>
      </c>
      <c r="AR142" s="37">
        <f t="shared" si="25"/>
        <v>56.55</v>
      </c>
      <c r="AS142" s="37">
        <f t="shared" si="26"/>
        <v>1338.76</v>
      </c>
    </row>
    <row r="143" spans="1:45" x14ac:dyDescent="0.25">
      <c r="A143" s="26" t="s">
        <v>372</v>
      </c>
      <c r="B143" t="s">
        <v>373</v>
      </c>
      <c r="C143" s="25">
        <v>0</v>
      </c>
      <c r="D143" s="25">
        <v>0</v>
      </c>
      <c r="E143" s="25">
        <v>0</v>
      </c>
      <c r="F143" s="25">
        <v>0</v>
      </c>
      <c r="G143" s="25">
        <v>0</v>
      </c>
      <c r="H143" s="25">
        <v>0</v>
      </c>
      <c r="I143" s="25">
        <v>0</v>
      </c>
      <c r="J143" s="25">
        <v>0</v>
      </c>
      <c r="K143" s="25">
        <v>0</v>
      </c>
      <c r="L143" s="25">
        <v>0</v>
      </c>
      <c r="M143" s="25">
        <v>10</v>
      </c>
      <c r="N143" s="25">
        <v>10</v>
      </c>
      <c r="O143" s="25">
        <v>0</v>
      </c>
      <c r="P143" s="25">
        <v>0</v>
      </c>
      <c r="Q143" s="25">
        <v>5</v>
      </c>
      <c r="R143" s="25">
        <v>5</v>
      </c>
      <c r="S143" s="25">
        <v>0</v>
      </c>
      <c r="T143" s="25">
        <v>5</v>
      </c>
      <c r="U143" s="25">
        <v>10</v>
      </c>
      <c r="V143" s="25">
        <v>5</v>
      </c>
      <c r="W143" s="25">
        <v>5</v>
      </c>
      <c r="X143" s="25">
        <v>0</v>
      </c>
      <c r="Y143" s="25">
        <v>5</v>
      </c>
      <c r="Z143" s="25">
        <v>0</v>
      </c>
      <c r="AA143" s="25">
        <v>0</v>
      </c>
      <c r="AB143" s="25">
        <v>0</v>
      </c>
      <c r="AC143" s="25">
        <v>10</v>
      </c>
      <c r="AD143" s="25">
        <v>10</v>
      </c>
      <c r="AE143" s="25">
        <v>5</v>
      </c>
      <c r="AF143" s="25">
        <v>0</v>
      </c>
      <c r="AG143" s="25">
        <v>5</v>
      </c>
      <c r="AH143" s="25">
        <v>20</v>
      </c>
      <c r="AI143" s="25" t="s">
        <v>88</v>
      </c>
      <c r="AJ143" s="25" t="s">
        <v>89</v>
      </c>
      <c r="AK143" s="32">
        <f t="shared" si="18"/>
        <v>10</v>
      </c>
      <c r="AL143" s="32">
        <f t="shared" si="19"/>
        <v>5</v>
      </c>
      <c r="AM143" s="32">
        <f t="shared" si="20"/>
        <v>45</v>
      </c>
      <c r="AN143" s="32">
        <f t="shared" si="21"/>
        <v>50</v>
      </c>
      <c r="AO143" s="34">
        <f t="shared" si="22"/>
        <v>2</v>
      </c>
      <c r="AP143" s="34">
        <f t="shared" si="23"/>
        <v>0.9</v>
      </c>
      <c r="AQ143" s="33">
        <f t="shared" si="24"/>
        <v>60</v>
      </c>
      <c r="AR143" s="37">
        <f t="shared" si="25"/>
        <v>15</v>
      </c>
      <c r="AS143" s="37">
        <f t="shared" si="26"/>
        <v>95</v>
      </c>
    </row>
    <row r="144" spans="1:45" x14ac:dyDescent="0.25">
      <c r="A144" s="26" t="s">
        <v>374</v>
      </c>
      <c r="B144" t="s">
        <v>375</v>
      </c>
      <c r="C144" s="25">
        <v>0</v>
      </c>
      <c r="D144" s="25">
        <v>0</v>
      </c>
      <c r="E144" s="25">
        <v>9.8699999999999992</v>
      </c>
      <c r="F144" s="25">
        <v>0</v>
      </c>
      <c r="G144" s="25">
        <v>14.81</v>
      </c>
      <c r="H144" s="25">
        <v>0</v>
      </c>
      <c r="I144" s="25">
        <v>34.56</v>
      </c>
      <c r="J144" s="25">
        <v>19.75</v>
      </c>
      <c r="K144" s="25">
        <v>4.9400000000000004</v>
      </c>
      <c r="L144" s="25">
        <v>9.8699999999999992</v>
      </c>
      <c r="M144" s="25">
        <v>59.24</v>
      </c>
      <c r="N144" s="25">
        <v>34.56</v>
      </c>
      <c r="O144" s="25">
        <v>0</v>
      </c>
      <c r="P144" s="25">
        <v>9.8699999999999992</v>
      </c>
      <c r="Q144" s="25">
        <v>133.30000000000001</v>
      </c>
      <c r="R144" s="25">
        <v>103.68</v>
      </c>
      <c r="S144" s="25">
        <v>0</v>
      </c>
      <c r="T144" s="25">
        <v>24.68</v>
      </c>
      <c r="U144" s="25">
        <v>59.24</v>
      </c>
      <c r="V144" s="25">
        <v>172.79</v>
      </c>
      <c r="W144" s="25">
        <v>34.56</v>
      </c>
      <c r="X144" s="25">
        <v>19.75</v>
      </c>
      <c r="Y144" s="25">
        <v>113.55</v>
      </c>
      <c r="Z144" s="25">
        <v>29.62</v>
      </c>
      <c r="AA144" s="25">
        <v>18.07</v>
      </c>
      <c r="AB144" s="25">
        <v>9.8699999999999992</v>
      </c>
      <c r="AC144" s="25">
        <v>175.85</v>
      </c>
      <c r="AD144" s="25">
        <v>175.85</v>
      </c>
      <c r="AE144" s="25">
        <v>24.68</v>
      </c>
      <c r="AF144" s="25">
        <v>29.62</v>
      </c>
      <c r="AG144" s="25">
        <v>215.55</v>
      </c>
      <c r="AH144" s="25">
        <v>284.66000000000003</v>
      </c>
      <c r="AI144" s="25" t="s">
        <v>88</v>
      </c>
      <c r="AJ144" s="25" t="s">
        <v>89</v>
      </c>
      <c r="AK144" s="32">
        <f t="shared" si="18"/>
        <v>97.06</v>
      </c>
      <c r="AL144" s="32">
        <f t="shared" si="19"/>
        <v>103.66000000000001</v>
      </c>
      <c r="AM144" s="32">
        <f t="shared" si="20"/>
        <v>801.16000000000008</v>
      </c>
      <c r="AN144" s="32">
        <f t="shared" si="21"/>
        <v>820.91000000000008</v>
      </c>
      <c r="AO144" s="34">
        <f t="shared" si="22"/>
        <v>0.93633031063090866</v>
      </c>
      <c r="AP144" s="34">
        <f t="shared" si="23"/>
        <v>0.97594133339830191</v>
      </c>
      <c r="AQ144" s="33">
        <f t="shared" si="24"/>
        <v>888.64</v>
      </c>
      <c r="AR144" s="37">
        <f t="shared" si="25"/>
        <v>200.72000000000003</v>
      </c>
      <c r="AS144" s="37">
        <f t="shared" si="26"/>
        <v>1622.0700000000002</v>
      </c>
    </row>
    <row r="145" spans="1:45" x14ac:dyDescent="0.25">
      <c r="A145" s="26" t="s">
        <v>376</v>
      </c>
      <c r="B145" t="s">
        <v>377</v>
      </c>
      <c r="C145" s="25">
        <v>0</v>
      </c>
      <c r="D145" s="25">
        <v>0</v>
      </c>
      <c r="E145" s="25">
        <v>5</v>
      </c>
      <c r="F145" s="25">
        <v>0</v>
      </c>
      <c r="G145" s="25">
        <v>15</v>
      </c>
      <c r="H145" s="25">
        <v>10</v>
      </c>
      <c r="I145" s="25">
        <v>70</v>
      </c>
      <c r="J145" s="25">
        <v>20</v>
      </c>
      <c r="K145" s="25">
        <v>40</v>
      </c>
      <c r="L145" s="25">
        <v>0</v>
      </c>
      <c r="M145" s="25">
        <v>415</v>
      </c>
      <c r="N145" s="25">
        <v>375</v>
      </c>
      <c r="O145" s="25">
        <v>20</v>
      </c>
      <c r="P145" s="25">
        <v>35</v>
      </c>
      <c r="Q145" s="25">
        <v>225</v>
      </c>
      <c r="R145" s="25">
        <v>275</v>
      </c>
      <c r="S145" s="25">
        <v>10</v>
      </c>
      <c r="T145" s="25">
        <v>55</v>
      </c>
      <c r="U145" s="25">
        <v>55</v>
      </c>
      <c r="V145" s="25">
        <v>180</v>
      </c>
      <c r="W145" s="25">
        <v>30</v>
      </c>
      <c r="X145" s="25">
        <v>0</v>
      </c>
      <c r="Y145" s="25">
        <v>105</v>
      </c>
      <c r="Z145" s="25">
        <v>5</v>
      </c>
      <c r="AA145" s="25">
        <v>30</v>
      </c>
      <c r="AB145" s="25">
        <v>30</v>
      </c>
      <c r="AC145" s="25">
        <v>280</v>
      </c>
      <c r="AD145" s="25">
        <v>250</v>
      </c>
      <c r="AE145" s="25">
        <v>35</v>
      </c>
      <c r="AF145" s="25">
        <v>30</v>
      </c>
      <c r="AG145" s="25">
        <v>660</v>
      </c>
      <c r="AH145" s="25">
        <v>780</v>
      </c>
      <c r="AI145" s="25" t="s">
        <v>88</v>
      </c>
      <c r="AJ145" s="25" t="s">
        <v>89</v>
      </c>
      <c r="AK145" s="32">
        <f t="shared" si="18"/>
        <v>180</v>
      </c>
      <c r="AL145" s="32">
        <f t="shared" si="19"/>
        <v>160</v>
      </c>
      <c r="AM145" s="32">
        <f t="shared" si="20"/>
        <v>1815</v>
      </c>
      <c r="AN145" s="32">
        <f t="shared" si="21"/>
        <v>1885</v>
      </c>
      <c r="AO145" s="34">
        <f t="shared" si="22"/>
        <v>1.125</v>
      </c>
      <c r="AP145" s="34">
        <f t="shared" si="23"/>
        <v>0.96286472148541113</v>
      </c>
      <c r="AQ145" s="33">
        <f t="shared" si="24"/>
        <v>1945</v>
      </c>
      <c r="AR145" s="37">
        <f t="shared" si="25"/>
        <v>340</v>
      </c>
      <c r="AS145" s="37">
        <f t="shared" si="26"/>
        <v>3700</v>
      </c>
    </row>
    <row r="146" spans="1:45" x14ac:dyDescent="0.25">
      <c r="A146" s="26" t="s">
        <v>378</v>
      </c>
      <c r="B146" t="s">
        <v>379</v>
      </c>
      <c r="C146" s="25">
        <v>0</v>
      </c>
      <c r="D146" s="25">
        <v>0</v>
      </c>
      <c r="E146" s="25">
        <v>0</v>
      </c>
      <c r="F146" s="25">
        <v>0</v>
      </c>
      <c r="G146" s="25">
        <v>0</v>
      </c>
      <c r="H146" s="25">
        <v>0</v>
      </c>
      <c r="I146" s="25">
        <v>5</v>
      </c>
      <c r="J146" s="25">
        <v>0</v>
      </c>
      <c r="K146" s="25">
        <v>10</v>
      </c>
      <c r="L146" s="25">
        <v>5</v>
      </c>
      <c r="M146" s="25">
        <v>75</v>
      </c>
      <c r="N146" s="25">
        <v>85</v>
      </c>
      <c r="O146" s="25">
        <v>0</v>
      </c>
      <c r="P146" s="25">
        <v>10</v>
      </c>
      <c r="Q146" s="25">
        <v>45</v>
      </c>
      <c r="R146" s="25">
        <v>55</v>
      </c>
      <c r="S146" s="25">
        <v>0</v>
      </c>
      <c r="T146" s="25">
        <v>0</v>
      </c>
      <c r="U146" s="25">
        <v>20</v>
      </c>
      <c r="V146" s="25">
        <v>30</v>
      </c>
      <c r="W146" s="25">
        <v>0</v>
      </c>
      <c r="X146" s="25">
        <v>0</v>
      </c>
      <c r="Y146" s="25">
        <v>20</v>
      </c>
      <c r="Z146" s="25">
        <v>0</v>
      </c>
      <c r="AA146" s="25">
        <v>0</v>
      </c>
      <c r="AB146" s="25">
        <v>5</v>
      </c>
      <c r="AC146" s="25">
        <v>70</v>
      </c>
      <c r="AD146" s="25">
        <v>95</v>
      </c>
      <c r="AE146" s="25">
        <v>0</v>
      </c>
      <c r="AF146" s="25">
        <v>5</v>
      </c>
      <c r="AG146" s="25">
        <v>95</v>
      </c>
      <c r="AH146" s="25">
        <v>85</v>
      </c>
      <c r="AI146" s="25" t="s">
        <v>88</v>
      </c>
      <c r="AJ146" s="25" t="s">
        <v>89</v>
      </c>
      <c r="AK146" s="32">
        <f t="shared" si="18"/>
        <v>10</v>
      </c>
      <c r="AL146" s="32">
        <f t="shared" si="19"/>
        <v>25</v>
      </c>
      <c r="AM146" s="32">
        <f t="shared" si="20"/>
        <v>330</v>
      </c>
      <c r="AN146" s="32">
        <f t="shared" si="21"/>
        <v>350</v>
      </c>
      <c r="AO146" s="34">
        <f t="shared" si="22"/>
        <v>0.4</v>
      </c>
      <c r="AP146" s="34">
        <f t="shared" si="23"/>
        <v>0.94285714285714284</v>
      </c>
      <c r="AQ146" s="33">
        <f t="shared" si="24"/>
        <v>360</v>
      </c>
      <c r="AR146" s="37">
        <f t="shared" si="25"/>
        <v>35</v>
      </c>
      <c r="AS146" s="37">
        <f t="shared" si="26"/>
        <v>680</v>
      </c>
    </row>
    <row r="147" spans="1:45" x14ac:dyDescent="0.25">
      <c r="A147" s="26" t="s">
        <v>380</v>
      </c>
      <c r="B147" t="s">
        <v>381</v>
      </c>
      <c r="C147" s="25">
        <v>0</v>
      </c>
      <c r="D147" s="25">
        <v>0</v>
      </c>
      <c r="E147" s="25">
        <v>10</v>
      </c>
      <c r="F147" s="25">
        <v>0</v>
      </c>
      <c r="G147" s="25">
        <v>15</v>
      </c>
      <c r="H147" s="25">
        <v>5</v>
      </c>
      <c r="I147" s="25">
        <v>80</v>
      </c>
      <c r="J147" s="25">
        <v>45</v>
      </c>
      <c r="K147" s="25">
        <v>10</v>
      </c>
      <c r="L147" s="25">
        <v>20</v>
      </c>
      <c r="M147" s="25">
        <v>310</v>
      </c>
      <c r="N147" s="25">
        <v>155</v>
      </c>
      <c r="O147" s="25">
        <v>35</v>
      </c>
      <c r="P147" s="25">
        <v>25</v>
      </c>
      <c r="Q147" s="25">
        <v>260</v>
      </c>
      <c r="R147" s="25">
        <v>365</v>
      </c>
      <c r="S147" s="25">
        <v>15</v>
      </c>
      <c r="T147" s="25">
        <v>100</v>
      </c>
      <c r="U147" s="25">
        <v>155</v>
      </c>
      <c r="V147" s="25">
        <v>455</v>
      </c>
      <c r="W147" s="25">
        <v>70</v>
      </c>
      <c r="X147" s="25">
        <v>30</v>
      </c>
      <c r="Y147" s="25">
        <v>280</v>
      </c>
      <c r="Z147" s="25">
        <v>45</v>
      </c>
      <c r="AA147" s="25">
        <v>10</v>
      </c>
      <c r="AB147" s="25">
        <v>40</v>
      </c>
      <c r="AC147" s="25">
        <v>445</v>
      </c>
      <c r="AD147" s="25">
        <v>490</v>
      </c>
      <c r="AE147" s="25">
        <v>25</v>
      </c>
      <c r="AF147" s="25">
        <v>65</v>
      </c>
      <c r="AG147" s="25">
        <v>680</v>
      </c>
      <c r="AH147" s="25">
        <v>875</v>
      </c>
      <c r="AI147" s="25" t="s">
        <v>94</v>
      </c>
      <c r="AJ147" s="25" t="s">
        <v>89</v>
      </c>
      <c r="AK147" s="32">
        <f t="shared" si="18"/>
        <v>180</v>
      </c>
      <c r="AL147" s="32">
        <f t="shared" si="19"/>
        <v>285</v>
      </c>
      <c r="AM147" s="32">
        <f t="shared" si="20"/>
        <v>2220</v>
      </c>
      <c r="AN147" s="32">
        <f t="shared" si="21"/>
        <v>2430</v>
      </c>
      <c r="AO147" s="34">
        <f t="shared" si="22"/>
        <v>0.63157894736842102</v>
      </c>
      <c r="AP147" s="34">
        <f t="shared" si="23"/>
        <v>0.9135802469135802</v>
      </c>
      <c r="AQ147" s="33">
        <f t="shared" si="24"/>
        <v>2485</v>
      </c>
      <c r="AR147" s="37">
        <f t="shared" si="25"/>
        <v>465</v>
      </c>
      <c r="AS147" s="37">
        <f t="shared" si="26"/>
        <v>4650</v>
      </c>
    </row>
    <row r="148" spans="1:45" x14ac:dyDescent="0.25">
      <c r="A148" s="26" t="s">
        <v>382</v>
      </c>
      <c r="B148" t="s">
        <v>383</v>
      </c>
      <c r="C148" s="25">
        <v>0</v>
      </c>
      <c r="D148" s="25">
        <v>0</v>
      </c>
      <c r="E148" s="25">
        <v>0</v>
      </c>
      <c r="F148" s="25">
        <v>0</v>
      </c>
      <c r="G148" s="25">
        <v>0</v>
      </c>
      <c r="H148" s="25">
        <v>0</v>
      </c>
      <c r="I148" s="25">
        <v>25.04</v>
      </c>
      <c r="J148" s="25">
        <v>10.02</v>
      </c>
      <c r="K148" s="25">
        <v>5.01</v>
      </c>
      <c r="L148" s="25">
        <v>0</v>
      </c>
      <c r="M148" s="25">
        <v>25.12</v>
      </c>
      <c r="N148" s="25">
        <v>10.06</v>
      </c>
      <c r="O148" s="25">
        <v>0</v>
      </c>
      <c r="P148" s="25">
        <v>5.01</v>
      </c>
      <c r="Q148" s="25">
        <v>19.989999999999998</v>
      </c>
      <c r="R148" s="25">
        <v>59.97</v>
      </c>
      <c r="S148" s="25">
        <v>0</v>
      </c>
      <c r="T148" s="25">
        <v>0</v>
      </c>
      <c r="U148" s="25">
        <v>24.92</v>
      </c>
      <c r="V148" s="25">
        <v>45.15</v>
      </c>
      <c r="W148" s="25">
        <v>0</v>
      </c>
      <c r="X148" s="25">
        <v>4.97</v>
      </c>
      <c r="Y148" s="25">
        <v>39.78</v>
      </c>
      <c r="Z148" s="25">
        <v>9.89</v>
      </c>
      <c r="AA148" s="25">
        <v>0</v>
      </c>
      <c r="AB148" s="25">
        <v>0</v>
      </c>
      <c r="AC148" s="25">
        <v>35.380000000000003</v>
      </c>
      <c r="AD148" s="25">
        <v>55.69</v>
      </c>
      <c r="AE148" s="25">
        <v>0</v>
      </c>
      <c r="AF148" s="25">
        <v>0</v>
      </c>
      <c r="AG148" s="25">
        <v>89.41</v>
      </c>
      <c r="AH148" s="25">
        <v>59.37</v>
      </c>
      <c r="AI148" s="25" t="s">
        <v>88</v>
      </c>
      <c r="AJ148" s="25" t="s">
        <v>89</v>
      </c>
      <c r="AK148" s="32">
        <f t="shared" si="18"/>
        <v>5.01</v>
      </c>
      <c r="AL148" s="32">
        <f t="shared" si="19"/>
        <v>9.98</v>
      </c>
      <c r="AM148" s="32">
        <f t="shared" si="20"/>
        <v>259.64</v>
      </c>
      <c r="AN148" s="32">
        <f t="shared" si="21"/>
        <v>250.14999999999998</v>
      </c>
      <c r="AO148" s="34">
        <f t="shared" si="22"/>
        <v>0.50200400801603207</v>
      </c>
      <c r="AP148" s="34">
        <f t="shared" si="23"/>
        <v>1.0379372376574056</v>
      </c>
      <c r="AQ148" s="33">
        <f t="shared" si="24"/>
        <v>284.92999999999995</v>
      </c>
      <c r="AR148" s="37">
        <f t="shared" si="25"/>
        <v>14.99</v>
      </c>
      <c r="AS148" s="37">
        <f t="shared" si="26"/>
        <v>509.78999999999996</v>
      </c>
    </row>
    <row r="149" spans="1:45" x14ac:dyDescent="0.25">
      <c r="A149" s="26" t="s">
        <v>384</v>
      </c>
      <c r="B149" t="s">
        <v>385</v>
      </c>
      <c r="C149" s="25">
        <v>0</v>
      </c>
      <c r="D149" s="25">
        <v>0</v>
      </c>
      <c r="E149" s="25">
        <v>0</v>
      </c>
      <c r="F149" s="25">
        <v>0</v>
      </c>
      <c r="G149" s="25">
        <v>0</v>
      </c>
      <c r="H149" s="25">
        <v>0</v>
      </c>
      <c r="I149" s="25">
        <v>31.31</v>
      </c>
      <c r="J149" s="25">
        <v>26.09</v>
      </c>
      <c r="K149" s="25">
        <v>5.22</v>
      </c>
      <c r="L149" s="25">
        <v>5.22</v>
      </c>
      <c r="M149" s="25">
        <v>88.72</v>
      </c>
      <c r="N149" s="25">
        <v>62.63</v>
      </c>
      <c r="O149" s="25">
        <v>0</v>
      </c>
      <c r="P149" s="25">
        <v>0</v>
      </c>
      <c r="Q149" s="25">
        <v>36.53</v>
      </c>
      <c r="R149" s="25">
        <v>67.84</v>
      </c>
      <c r="S149" s="25">
        <v>0</v>
      </c>
      <c r="T149" s="25">
        <v>0</v>
      </c>
      <c r="U149" s="25">
        <v>20.88</v>
      </c>
      <c r="V149" s="25">
        <v>99.16</v>
      </c>
      <c r="W149" s="25">
        <v>0</v>
      </c>
      <c r="X149" s="25">
        <v>0</v>
      </c>
      <c r="Y149" s="25">
        <v>67.84</v>
      </c>
      <c r="Z149" s="25">
        <v>10.44</v>
      </c>
      <c r="AA149" s="25">
        <v>0</v>
      </c>
      <c r="AB149" s="25">
        <v>5.22</v>
      </c>
      <c r="AC149" s="25">
        <v>99.16</v>
      </c>
      <c r="AD149" s="25">
        <v>78.28</v>
      </c>
      <c r="AE149" s="25">
        <v>0</v>
      </c>
      <c r="AF149" s="25">
        <v>0</v>
      </c>
      <c r="AG149" s="25">
        <v>135.69</v>
      </c>
      <c r="AH149" s="25">
        <v>156.56</v>
      </c>
      <c r="AI149" s="25" t="s">
        <v>94</v>
      </c>
      <c r="AJ149" s="25" t="s">
        <v>89</v>
      </c>
      <c r="AK149" s="32">
        <f t="shared" si="18"/>
        <v>5.22</v>
      </c>
      <c r="AL149" s="32">
        <f t="shared" si="19"/>
        <v>10.44</v>
      </c>
      <c r="AM149" s="32">
        <f t="shared" si="20"/>
        <v>480.13</v>
      </c>
      <c r="AN149" s="32">
        <f t="shared" si="21"/>
        <v>501.00000000000006</v>
      </c>
      <c r="AO149" s="34">
        <f t="shared" si="22"/>
        <v>0.5</v>
      </c>
      <c r="AP149" s="34">
        <f t="shared" si="23"/>
        <v>0.9583433133732534</v>
      </c>
      <c r="AQ149" s="33">
        <f t="shared" si="24"/>
        <v>521.88000000000011</v>
      </c>
      <c r="AR149" s="37">
        <f t="shared" si="25"/>
        <v>15.66</v>
      </c>
      <c r="AS149" s="37">
        <f t="shared" si="26"/>
        <v>981.13000000000011</v>
      </c>
    </row>
    <row r="150" spans="1:45" x14ac:dyDescent="0.25">
      <c r="A150" s="26" t="s">
        <v>386</v>
      </c>
      <c r="B150" t="s">
        <v>387</v>
      </c>
      <c r="C150" s="25">
        <v>0</v>
      </c>
      <c r="D150" s="25">
        <v>0</v>
      </c>
      <c r="E150" s="25">
        <v>0</v>
      </c>
      <c r="F150" s="25">
        <v>0</v>
      </c>
      <c r="G150" s="25">
        <v>0</v>
      </c>
      <c r="H150" s="25">
        <v>0</v>
      </c>
      <c r="I150" s="25">
        <v>5.09</v>
      </c>
      <c r="J150" s="25">
        <v>0</v>
      </c>
      <c r="K150" s="25">
        <v>10.49</v>
      </c>
      <c r="L150" s="25">
        <v>5.25</v>
      </c>
      <c r="M150" s="25">
        <v>20.69</v>
      </c>
      <c r="N150" s="25">
        <v>4.93</v>
      </c>
      <c r="O150" s="25">
        <v>10.34</v>
      </c>
      <c r="P150" s="25">
        <v>4.93</v>
      </c>
      <c r="Q150" s="25">
        <v>56.63</v>
      </c>
      <c r="R150" s="25">
        <v>30.7</v>
      </c>
      <c r="S150" s="25">
        <v>0</v>
      </c>
      <c r="T150" s="25">
        <v>10.66</v>
      </c>
      <c r="U150" s="25">
        <v>15.93</v>
      </c>
      <c r="V150" s="25">
        <v>57.12</v>
      </c>
      <c r="W150" s="25">
        <v>5.25</v>
      </c>
      <c r="X150" s="25">
        <v>0</v>
      </c>
      <c r="Y150" s="25">
        <v>15.11</v>
      </c>
      <c r="Z150" s="25">
        <v>5.09</v>
      </c>
      <c r="AA150" s="25">
        <v>0</v>
      </c>
      <c r="AB150" s="25">
        <v>0</v>
      </c>
      <c r="AC150" s="25">
        <v>40.46</v>
      </c>
      <c r="AD150" s="25">
        <v>39.340000000000003</v>
      </c>
      <c r="AE150" s="25">
        <v>5.75</v>
      </c>
      <c r="AF150" s="25">
        <v>0</v>
      </c>
      <c r="AG150" s="25">
        <v>80.87</v>
      </c>
      <c r="AH150" s="25">
        <v>127.62</v>
      </c>
      <c r="AI150" s="25" t="s">
        <v>88</v>
      </c>
      <c r="AJ150" s="25" t="s">
        <v>89</v>
      </c>
      <c r="AK150" s="32">
        <f t="shared" si="18"/>
        <v>31.83</v>
      </c>
      <c r="AL150" s="32">
        <f t="shared" si="19"/>
        <v>20.84</v>
      </c>
      <c r="AM150" s="32">
        <f t="shared" si="20"/>
        <v>234.78</v>
      </c>
      <c r="AN150" s="32">
        <f t="shared" si="21"/>
        <v>264.8</v>
      </c>
      <c r="AO150" s="34">
        <f t="shared" si="22"/>
        <v>1.5273512476007678</v>
      </c>
      <c r="AP150" s="34">
        <f t="shared" si="23"/>
        <v>0.88663141993957706</v>
      </c>
      <c r="AQ150" s="33">
        <f t="shared" si="24"/>
        <v>258.20999999999998</v>
      </c>
      <c r="AR150" s="37">
        <f t="shared" si="25"/>
        <v>52.67</v>
      </c>
      <c r="AS150" s="37">
        <f t="shared" si="26"/>
        <v>499.58000000000004</v>
      </c>
    </row>
    <row r="151" spans="1:45" x14ac:dyDescent="0.25">
      <c r="A151" s="26" t="s">
        <v>388</v>
      </c>
      <c r="B151" t="s">
        <v>389</v>
      </c>
      <c r="C151" s="25">
        <v>0</v>
      </c>
      <c r="D151" s="25">
        <v>0</v>
      </c>
      <c r="E151" s="25">
        <v>0</v>
      </c>
      <c r="F151" s="25">
        <v>0</v>
      </c>
      <c r="G151" s="25">
        <v>247.96</v>
      </c>
      <c r="H151" s="25">
        <v>30.35</v>
      </c>
      <c r="I151" s="25">
        <v>304.64</v>
      </c>
      <c r="J151" s="25">
        <v>153.79</v>
      </c>
      <c r="K151" s="25">
        <v>240.3</v>
      </c>
      <c r="L151" s="25">
        <v>133.02000000000001</v>
      </c>
      <c r="M151" s="25">
        <v>1682.5</v>
      </c>
      <c r="N151" s="25">
        <v>1173.04</v>
      </c>
      <c r="O151" s="25">
        <v>364.38</v>
      </c>
      <c r="P151" s="25">
        <v>298.66000000000003</v>
      </c>
      <c r="Q151" s="25">
        <v>1845.74</v>
      </c>
      <c r="R151" s="25">
        <v>2565.73</v>
      </c>
      <c r="S151" s="25">
        <v>335.93</v>
      </c>
      <c r="T151" s="25">
        <v>956.53</v>
      </c>
      <c r="U151" s="25">
        <v>1128.2</v>
      </c>
      <c r="V151" s="25">
        <v>2810.56</v>
      </c>
      <c r="W151" s="25">
        <v>1053.3399999999999</v>
      </c>
      <c r="X151" s="25">
        <v>236.55</v>
      </c>
      <c r="Y151" s="25">
        <v>1620.89</v>
      </c>
      <c r="Z151" s="25">
        <v>270.70999999999998</v>
      </c>
      <c r="AA151" s="25">
        <v>555.14</v>
      </c>
      <c r="AB151" s="25">
        <v>429.17</v>
      </c>
      <c r="AC151" s="25">
        <v>2476.48</v>
      </c>
      <c r="AD151" s="25">
        <v>3411.23</v>
      </c>
      <c r="AE151" s="25">
        <v>580.02</v>
      </c>
      <c r="AF151" s="25">
        <v>1017.92</v>
      </c>
      <c r="AG151" s="25">
        <v>5103.3500000000004</v>
      </c>
      <c r="AH151" s="25">
        <v>5181.63</v>
      </c>
      <c r="AI151" s="25" t="s">
        <v>88</v>
      </c>
      <c r="AJ151" s="25" t="s">
        <v>89</v>
      </c>
      <c r="AK151" s="32">
        <f t="shared" si="18"/>
        <v>3377.0699999999997</v>
      </c>
      <c r="AL151" s="32">
        <f t="shared" si="19"/>
        <v>3102.2</v>
      </c>
      <c r="AM151" s="32">
        <f t="shared" si="20"/>
        <v>14161.800000000001</v>
      </c>
      <c r="AN151" s="32">
        <f t="shared" si="21"/>
        <v>15566.689999999999</v>
      </c>
      <c r="AO151" s="34">
        <f t="shared" si="22"/>
        <v>1.0886048610663399</v>
      </c>
      <c r="AP151" s="34">
        <f t="shared" si="23"/>
        <v>0.90975024234439061</v>
      </c>
      <c r="AQ151" s="33">
        <f t="shared" si="24"/>
        <v>17452.82</v>
      </c>
      <c r="AR151" s="37">
        <f t="shared" si="25"/>
        <v>6479.2699999999995</v>
      </c>
      <c r="AS151" s="37">
        <f t="shared" si="26"/>
        <v>29728.489999999998</v>
      </c>
    </row>
    <row r="152" spans="1:45" x14ac:dyDescent="0.25">
      <c r="A152" s="26" t="s">
        <v>390</v>
      </c>
      <c r="B152" t="s">
        <v>391</v>
      </c>
      <c r="C152" s="25">
        <v>0</v>
      </c>
      <c r="D152" s="25">
        <v>0</v>
      </c>
      <c r="E152" s="25">
        <v>0</v>
      </c>
      <c r="F152" s="25">
        <v>0</v>
      </c>
      <c r="G152" s="25">
        <v>45.54</v>
      </c>
      <c r="H152" s="25">
        <v>15.1</v>
      </c>
      <c r="I152" s="25">
        <v>151.31</v>
      </c>
      <c r="J152" s="25">
        <v>15.17</v>
      </c>
      <c r="K152" s="25">
        <v>35.33</v>
      </c>
      <c r="L152" s="25">
        <v>25.2</v>
      </c>
      <c r="M152" s="25">
        <v>388.22</v>
      </c>
      <c r="N152" s="25">
        <v>277.06</v>
      </c>
      <c r="O152" s="25">
        <v>85.75</v>
      </c>
      <c r="P152" s="25">
        <v>91.01</v>
      </c>
      <c r="Q152" s="25">
        <v>595.03</v>
      </c>
      <c r="R152" s="25">
        <v>726.15</v>
      </c>
      <c r="S152" s="25">
        <v>81.040000000000006</v>
      </c>
      <c r="T152" s="25">
        <v>338.52</v>
      </c>
      <c r="U152" s="25">
        <v>352.93</v>
      </c>
      <c r="V152" s="25">
        <v>953.18</v>
      </c>
      <c r="W152" s="25">
        <v>237.64</v>
      </c>
      <c r="X152" s="25">
        <v>60.66</v>
      </c>
      <c r="Y152" s="25">
        <v>666.1</v>
      </c>
      <c r="Z152" s="25">
        <v>115.97</v>
      </c>
      <c r="AA152" s="25">
        <v>115.76</v>
      </c>
      <c r="AB152" s="25">
        <v>120.65</v>
      </c>
      <c r="AC152" s="25">
        <v>562.67999999999995</v>
      </c>
      <c r="AD152" s="25">
        <v>672.46</v>
      </c>
      <c r="AE152" s="25">
        <v>80.989999999999995</v>
      </c>
      <c r="AF152" s="25">
        <v>171.95</v>
      </c>
      <c r="AG152" s="25">
        <v>1729.23</v>
      </c>
      <c r="AH152" s="25">
        <v>1936.43</v>
      </c>
      <c r="AI152" s="25" t="s">
        <v>88</v>
      </c>
      <c r="AJ152" s="25" t="s">
        <v>89</v>
      </c>
      <c r="AK152" s="32">
        <f t="shared" si="18"/>
        <v>682.05000000000007</v>
      </c>
      <c r="AL152" s="32">
        <f t="shared" si="19"/>
        <v>823.08999999999992</v>
      </c>
      <c r="AM152" s="32">
        <f t="shared" si="20"/>
        <v>4445.5</v>
      </c>
      <c r="AN152" s="32">
        <f t="shared" si="21"/>
        <v>4696.42</v>
      </c>
      <c r="AO152" s="34">
        <f t="shared" si="22"/>
        <v>0.82864571310549284</v>
      </c>
      <c r="AP152" s="34">
        <f t="shared" si="23"/>
        <v>0.94657206978932884</v>
      </c>
      <c r="AQ152" s="33">
        <f t="shared" si="24"/>
        <v>5256.9100000000008</v>
      </c>
      <c r="AR152" s="37">
        <f t="shared" si="25"/>
        <v>1505.1399999999999</v>
      </c>
      <c r="AS152" s="37">
        <f t="shared" si="26"/>
        <v>9141.92</v>
      </c>
    </row>
    <row r="153" spans="1:45" x14ac:dyDescent="0.25">
      <c r="A153" s="26" t="s">
        <v>392</v>
      </c>
      <c r="B153" t="s">
        <v>393</v>
      </c>
      <c r="C153" s="25">
        <v>0</v>
      </c>
      <c r="D153" s="25">
        <v>0</v>
      </c>
      <c r="E153" s="25">
        <v>0</v>
      </c>
      <c r="F153" s="25">
        <v>0</v>
      </c>
      <c r="G153" s="25">
        <v>30</v>
      </c>
      <c r="H153" s="25">
        <v>5</v>
      </c>
      <c r="I153" s="25">
        <v>120</v>
      </c>
      <c r="J153" s="25">
        <v>30</v>
      </c>
      <c r="K153" s="25">
        <v>65</v>
      </c>
      <c r="L153" s="25">
        <v>30</v>
      </c>
      <c r="M153" s="25">
        <v>635</v>
      </c>
      <c r="N153" s="25">
        <v>385</v>
      </c>
      <c r="O153" s="25">
        <v>35</v>
      </c>
      <c r="P153" s="25">
        <v>60</v>
      </c>
      <c r="Q153" s="25">
        <v>395</v>
      </c>
      <c r="R153" s="25">
        <v>620</v>
      </c>
      <c r="S153" s="25">
        <v>50</v>
      </c>
      <c r="T153" s="25">
        <v>75</v>
      </c>
      <c r="U153" s="25">
        <v>230</v>
      </c>
      <c r="V153" s="25">
        <v>550</v>
      </c>
      <c r="W153" s="25">
        <v>65</v>
      </c>
      <c r="X153" s="25">
        <v>20</v>
      </c>
      <c r="Y153" s="25">
        <v>210</v>
      </c>
      <c r="Z153" s="25">
        <v>45</v>
      </c>
      <c r="AA153" s="25">
        <v>25</v>
      </c>
      <c r="AB153" s="25">
        <v>50</v>
      </c>
      <c r="AC153" s="25">
        <v>600</v>
      </c>
      <c r="AD153" s="25">
        <v>760</v>
      </c>
      <c r="AE153" s="25">
        <v>25</v>
      </c>
      <c r="AF153" s="25">
        <v>60</v>
      </c>
      <c r="AG153" s="25">
        <v>1095</v>
      </c>
      <c r="AH153" s="25">
        <v>1245</v>
      </c>
      <c r="AI153" s="25" t="s">
        <v>88</v>
      </c>
      <c r="AJ153" s="25" t="s">
        <v>89</v>
      </c>
      <c r="AK153" s="32">
        <f t="shared" si="18"/>
        <v>295</v>
      </c>
      <c r="AL153" s="32">
        <f t="shared" si="19"/>
        <v>300</v>
      </c>
      <c r="AM153" s="32">
        <f t="shared" si="20"/>
        <v>3285</v>
      </c>
      <c r="AN153" s="32">
        <f t="shared" si="21"/>
        <v>3635</v>
      </c>
      <c r="AO153" s="34">
        <f t="shared" si="22"/>
        <v>0.98333333333333328</v>
      </c>
      <c r="AP153" s="34">
        <f t="shared" si="23"/>
        <v>0.90371389270976621</v>
      </c>
      <c r="AQ153" s="33">
        <f t="shared" si="24"/>
        <v>3655</v>
      </c>
      <c r="AR153" s="37">
        <f t="shared" si="25"/>
        <v>595</v>
      </c>
      <c r="AS153" s="37">
        <f t="shared" si="26"/>
        <v>6920</v>
      </c>
    </row>
    <row r="154" spans="1:45" x14ac:dyDescent="0.25">
      <c r="A154" s="26" t="s">
        <v>394</v>
      </c>
      <c r="B154" t="s">
        <v>395</v>
      </c>
      <c r="C154" s="25">
        <v>0</v>
      </c>
      <c r="D154" s="25">
        <v>0</v>
      </c>
      <c r="E154" s="25">
        <v>0</v>
      </c>
      <c r="F154" s="25">
        <v>0</v>
      </c>
      <c r="G154" s="25">
        <v>0</v>
      </c>
      <c r="H154" s="25">
        <v>0</v>
      </c>
      <c r="I154" s="25">
        <v>10.210000000000001</v>
      </c>
      <c r="J154" s="25">
        <v>0</v>
      </c>
      <c r="K154" s="25">
        <v>0</v>
      </c>
      <c r="L154" s="25">
        <v>0</v>
      </c>
      <c r="M154" s="25">
        <v>30.2</v>
      </c>
      <c r="N154" s="25">
        <v>20.170000000000002</v>
      </c>
      <c r="O154" s="25">
        <v>0</v>
      </c>
      <c r="P154" s="25">
        <v>0</v>
      </c>
      <c r="Q154" s="25">
        <v>45.28</v>
      </c>
      <c r="R154" s="25">
        <v>40.46</v>
      </c>
      <c r="S154" s="25">
        <v>0</v>
      </c>
      <c r="T154" s="25">
        <v>0</v>
      </c>
      <c r="U154" s="25">
        <v>10.11</v>
      </c>
      <c r="V154" s="25">
        <v>30.28</v>
      </c>
      <c r="W154" s="25">
        <v>0</v>
      </c>
      <c r="X154" s="25">
        <v>0</v>
      </c>
      <c r="Y154" s="25">
        <v>15.03</v>
      </c>
      <c r="Z154" s="25">
        <v>10.06</v>
      </c>
      <c r="AA154" s="25">
        <v>0</v>
      </c>
      <c r="AB154" s="25">
        <v>0</v>
      </c>
      <c r="AC154" s="25">
        <v>30.15</v>
      </c>
      <c r="AD154" s="25">
        <v>35.15</v>
      </c>
      <c r="AE154" s="25">
        <v>0</v>
      </c>
      <c r="AF154" s="25">
        <v>0</v>
      </c>
      <c r="AG154" s="25">
        <v>45.63</v>
      </c>
      <c r="AH154" s="25">
        <v>81.2</v>
      </c>
      <c r="AI154" s="25" t="s">
        <v>88</v>
      </c>
      <c r="AJ154" s="25" t="s">
        <v>89</v>
      </c>
      <c r="AK154" s="32">
        <f t="shared" si="18"/>
        <v>0</v>
      </c>
      <c r="AL154" s="32">
        <f t="shared" si="19"/>
        <v>0</v>
      </c>
      <c r="AM154" s="32">
        <f t="shared" si="20"/>
        <v>186.60999999999999</v>
      </c>
      <c r="AN154" s="32">
        <f t="shared" si="21"/>
        <v>217.32</v>
      </c>
      <c r="AO154" s="34">
        <f t="shared" si="22"/>
        <v>0</v>
      </c>
      <c r="AP154" s="34">
        <f t="shared" si="23"/>
        <v>0.85868764954905208</v>
      </c>
      <c r="AQ154" s="33">
        <f t="shared" si="24"/>
        <v>211.8</v>
      </c>
      <c r="AR154" s="37">
        <f t="shared" si="25"/>
        <v>0</v>
      </c>
      <c r="AS154" s="37">
        <f t="shared" si="26"/>
        <v>403.92999999999995</v>
      </c>
    </row>
    <row r="155" spans="1:45" x14ac:dyDescent="0.25">
      <c r="A155" s="26" t="s">
        <v>396</v>
      </c>
      <c r="B155" t="s">
        <v>397</v>
      </c>
      <c r="C155" s="25">
        <v>0</v>
      </c>
      <c r="D155" s="25">
        <v>0</v>
      </c>
      <c r="E155" s="25">
        <v>0</v>
      </c>
      <c r="F155" s="25">
        <v>0</v>
      </c>
      <c r="G155" s="25">
        <v>0</v>
      </c>
      <c r="H155" s="25">
        <v>0</v>
      </c>
      <c r="I155" s="25">
        <v>5.32</v>
      </c>
      <c r="J155" s="25">
        <v>0</v>
      </c>
      <c r="K155" s="25">
        <v>11.21</v>
      </c>
      <c r="L155" s="25">
        <v>10.64</v>
      </c>
      <c r="M155" s="25">
        <v>10.64</v>
      </c>
      <c r="N155" s="25">
        <v>30.62</v>
      </c>
      <c r="O155" s="25">
        <v>0</v>
      </c>
      <c r="P155" s="25">
        <v>0</v>
      </c>
      <c r="Q155" s="25">
        <v>47.89</v>
      </c>
      <c r="R155" s="25">
        <v>39.6</v>
      </c>
      <c r="S155" s="25">
        <v>0</v>
      </c>
      <c r="T155" s="25">
        <v>10.45</v>
      </c>
      <c r="U155" s="25">
        <v>5.13</v>
      </c>
      <c r="V155" s="25">
        <v>37.06</v>
      </c>
      <c r="W155" s="25">
        <v>5.32</v>
      </c>
      <c r="X155" s="25">
        <v>0</v>
      </c>
      <c r="Y155" s="25">
        <v>16.149999999999999</v>
      </c>
      <c r="Z155" s="25">
        <v>0</v>
      </c>
      <c r="AA155" s="25">
        <v>16.39</v>
      </c>
      <c r="AB155" s="25">
        <v>0</v>
      </c>
      <c r="AC155" s="25">
        <v>10.09</v>
      </c>
      <c r="AD155" s="25">
        <v>14.86</v>
      </c>
      <c r="AE155" s="25">
        <v>0</v>
      </c>
      <c r="AF155" s="25">
        <v>11.44</v>
      </c>
      <c r="AG155" s="25">
        <v>60.42</v>
      </c>
      <c r="AH155" s="25">
        <v>116.59</v>
      </c>
      <c r="AI155" s="25" t="s">
        <v>94</v>
      </c>
      <c r="AJ155" s="25" t="s">
        <v>89</v>
      </c>
      <c r="AK155" s="32">
        <f t="shared" si="18"/>
        <v>32.92</v>
      </c>
      <c r="AL155" s="32">
        <f t="shared" si="19"/>
        <v>32.53</v>
      </c>
      <c r="AM155" s="32">
        <f t="shared" si="20"/>
        <v>155.63999999999999</v>
      </c>
      <c r="AN155" s="32">
        <f t="shared" si="21"/>
        <v>238.73000000000002</v>
      </c>
      <c r="AO155" s="34">
        <f t="shared" si="22"/>
        <v>1.0119889332923455</v>
      </c>
      <c r="AP155" s="34">
        <f t="shared" si="23"/>
        <v>0.65194990156243449</v>
      </c>
      <c r="AQ155" s="33">
        <f t="shared" si="24"/>
        <v>230.03</v>
      </c>
      <c r="AR155" s="37">
        <f t="shared" si="25"/>
        <v>65.45</v>
      </c>
      <c r="AS155" s="37">
        <f t="shared" si="26"/>
        <v>394.37</v>
      </c>
    </row>
    <row r="156" spans="1:45" x14ac:dyDescent="0.25">
      <c r="A156" s="26" t="s">
        <v>398</v>
      </c>
      <c r="B156" t="s">
        <v>399</v>
      </c>
      <c r="C156" s="25">
        <v>0</v>
      </c>
      <c r="D156" s="25">
        <v>0</v>
      </c>
      <c r="E156" s="25">
        <v>0</v>
      </c>
      <c r="F156" s="25">
        <v>0</v>
      </c>
      <c r="G156" s="25">
        <v>5.03</v>
      </c>
      <c r="H156" s="25">
        <v>0</v>
      </c>
      <c r="I156" s="25">
        <v>25.14</v>
      </c>
      <c r="J156" s="25">
        <v>20.12</v>
      </c>
      <c r="K156" s="25">
        <v>5.03</v>
      </c>
      <c r="L156" s="25">
        <v>5.03</v>
      </c>
      <c r="M156" s="25">
        <v>120.69</v>
      </c>
      <c r="N156" s="25">
        <v>100.58</v>
      </c>
      <c r="O156" s="25">
        <v>5.03</v>
      </c>
      <c r="P156" s="25">
        <v>10.06</v>
      </c>
      <c r="Q156" s="25">
        <v>95.55</v>
      </c>
      <c r="R156" s="25">
        <v>130.75</v>
      </c>
      <c r="S156" s="25">
        <v>5.03</v>
      </c>
      <c r="T156" s="25">
        <v>15.09</v>
      </c>
      <c r="U156" s="25">
        <v>50.29</v>
      </c>
      <c r="V156" s="25">
        <v>130.75</v>
      </c>
      <c r="W156" s="25">
        <v>10.06</v>
      </c>
      <c r="X156" s="25">
        <v>5.03</v>
      </c>
      <c r="Y156" s="25">
        <v>95.55</v>
      </c>
      <c r="Z156" s="25">
        <v>10.06</v>
      </c>
      <c r="AA156" s="25">
        <v>5.03</v>
      </c>
      <c r="AB156" s="25">
        <v>0</v>
      </c>
      <c r="AC156" s="25">
        <v>110.64</v>
      </c>
      <c r="AD156" s="25">
        <v>125.72</v>
      </c>
      <c r="AE156" s="25">
        <v>0</v>
      </c>
      <c r="AF156" s="25">
        <v>5.03</v>
      </c>
      <c r="AG156" s="25">
        <v>196.13</v>
      </c>
      <c r="AH156" s="25">
        <v>251.45</v>
      </c>
      <c r="AI156" s="25" t="s">
        <v>94</v>
      </c>
      <c r="AJ156" s="25" t="s">
        <v>89</v>
      </c>
      <c r="AK156" s="32">
        <f t="shared" si="18"/>
        <v>35.21</v>
      </c>
      <c r="AL156" s="32">
        <f t="shared" si="19"/>
        <v>40.24</v>
      </c>
      <c r="AM156" s="32">
        <f t="shared" si="20"/>
        <v>693.99</v>
      </c>
      <c r="AN156" s="32">
        <f t="shared" si="21"/>
        <v>769.43000000000006</v>
      </c>
      <c r="AO156" s="34">
        <f t="shared" si="22"/>
        <v>0.875</v>
      </c>
      <c r="AP156" s="34">
        <f t="shared" si="23"/>
        <v>0.90195339407093555</v>
      </c>
      <c r="AQ156" s="33">
        <f t="shared" si="24"/>
        <v>844.86999999999978</v>
      </c>
      <c r="AR156" s="37">
        <f t="shared" si="25"/>
        <v>75.45</v>
      </c>
      <c r="AS156" s="37">
        <f t="shared" si="26"/>
        <v>1463.42</v>
      </c>
    </row>
    <row r="157" spans="1:45" x14ac:dyDescent="0.25">
      <c r="A157" s="26" t="s">
        <v>400</v>
      </c>
      <c r="B157" t="s">
        <v>401</v>
      </c>
      <c r="C157" s="25">
        <v>0</v>
      </c>
      <c r="D157" s="25">
        <v>0</v>
      </c>
      <c r="E157" s="25">
        <v>3.12</v>
      </c>
      <c r="F157" s="25">
        <v>0</v>
      </c>
      <c r="G157" s="25">
        <v>81.34</v>
      </c>
      <c r="H157" s="25">
        <v>15.59</v>
      </c>
      <c r="I157" s="25">
        <v>204.36</v>
      </c>
      <c r="J157" s="25">
        <v>59.75</v>
      </c>
      <c r="K157" s="25">
        <v>114.33</v>
      </c>
      <c r="L157" s="25">
        <v>75.709999999999994</v>
      </c>
      <c r="M157" s="25">
        <v>902.84</v>
      </c>
      <c r="N157" s="25">
        <v>596.27</v>
      </c>
      <c r="O157" s="25">
        <v>218.32</v>
      </c>
      <c r="P157" s="25">
        <v>145.55000000000001</v>
      </c>
      <c r="Q157" s="25">
        <v>1097.24</v>
      </c>
      <c r="R157" s="25">
        <v>1471.4</v>
      </c>
      <c r="S157" s="25">
        <v>154.12</v>
      </c>
      <c r="T157" s="25">
        <v>521.89</v>
      </c>
      <c r="U157" s="25">
        <v>645.29</v>
      </c>
      <c r="V157" s="25">
        <v>1641.82</v>
      </c>
      <c r="W157" s="25">
        <v>464.18</v>
      </c>
      <c r="X157" s="25">
        <v>94.52</v>
      </c>
      <c r="Y157" s="25">
        <v>923.91</v>
      </c>
      <c r="Z157" s="25">
        <v>153.41999999999999</v>
      </c>
      <c r="AA157" s="25">
        <v>172.15</v>
      </c>
      <c r="AB157" s="25">
        <v>156.4</v>
      </c>
      <c r="AC157" s="25">
        <v>1403.54</v>
      </c>
      <c r="AD157" s="25">
        <v>1873.9</v>
      </c>
      <c r="AE157" s="25">
        <v>257.25</v>
      </c>
      <c r="AF157" s="25">
        <v>536.02</v>
      </c>
      <c r="AG157" s="25">
        <v>2714.75</v>
      </c>
      <c r="AH157" s="25">
        <v>3059.03</v>
      </c>
      <c r="AI157" s="25" t="s">
        <v>88</v>
      </c>
      <c r="AJ157" s="25" t="s">
        <v>89</v>
      </c>
      <c r="AK157" s="32">
        <f t="shared" si="18"/>
        <v>1461.69</v>
      </c>
      <c r="AL157" s="32">
        <f t="shared" si="19"/>
        <v>1545.6799999999998</v>
      </c>
      <c r="AM157" s="32">
        <f t="shared" si="20"/>
        <v>7895.05</v>
      </c>
      <c r="AN157" s="32">
        <f t="shared" si="21"/>
        <v>8855.59</v>
      </c>
      <c r="AO157" s="34">
        <f t="shared" si="22"/>
        <v>0.9456614564463538</v>
      </c>
      <c r="AP157" s="34">
        <f t="shared" si="23"/>
        <v>0.89153291875527207</v>
      </c>
      <c r="AQ157" s="33">
        <f t="shared" si="24"/>
        <v>9584.9699999999993</v>
      </c>
      <c r="AR157" s="37">
        <f t="shared" si="25"/>
        <v>3007.37</v>
      </c>
      <c r="AS157" s="37">
        <f t="shared" si="26"/>
        <v>16750.64</v>
      </c>
    </row>
    <row r="158" spans="1:45" x14ac:dyDescent="0.25">
      <c r="A158" s="26" t="s">
        <v>402</v>
      </c>
      <c r="B158" t="s">
        <v>403</v>
      </c>
      <c r="C158" s="25">
        <v>0</v>
      </c>
      <c r="D158" s="25">
        <v>0</v>
      </c>
      <c r="E158" s="25">
        <v>5.32</v>
      </c>
      <c r="F158" s="25">
        <v>0</v>
      </c>
      <c r="G158" s="25">
        <v>43.63</v>
      </c>
      <c r="H158" s="25">
        <v>9.5500000000000007</v>
      </c>
      <c r="I158" s="25">
        <v>100.31</v>
      </c>
      <c r="J158" s="25">
        <v>10.220000000000001</v>
      </c>
      <c r="K158" s="25">
        <v>97.89</v>
      </c>
      <c r="L158" s="25">
        <v>70.2</v>
      </c>
      <c r="M158" s="25">
        <v>549.82000000000005</v>
      </c>
      <c r="N158" s="25">
        <v>433.56</v>
      </c>
      <c r="O158" s="25">
        <v>144.26</v>
      </c>
      <c r="P158" s="25">
        <v>83.02</v>
      </c>
      <c r="Q158" s="25">
        <v>764.66</v>
      </c>
      <c r="R158" s="25">
        <v>1027.3900000000001</v>
      </c>
      <c r="S158" s="25">
        <v>34.36</v>
      </c>
      <c r="T158" s="25">
        <v>178.36</v>
      </c>
      <c r="U158" s="25">
        <v>428.76</v>
      </c>
      <c r="V158" s="25">
        <v>831.77</v>
      </c>
      <c r="W158" s="25">
        <v>113.69</v>
      </c>
      <c r="X158" s="25">
        <v>29.45</v>
      </c>
      <c r="Y158" s="25">
        <v>481.18</v>
      </c>
      <c r="Z158" s="25">
        <v>85.71</v>
      </c>
      <c r="AA158" s="25">
        <v>76.33</v>
      </c>
      <c r="AB158" s="25">
        <v>98.04</v>
      </c>
      <c r="AC158" s="25">
        <v>470.31</v>
      </c>
      <c r="AD158" s="25">
        <v>675.81</v>
      </c>
      <c r="AE158" s="25">
        <v>9.56</v>
      </c>
      <c r="AF158" s="25">
        <v>191.3</v>
      </c>
      <c r="AG158" s="25">
        <v>1869.79</v>
      </c>
      <c r="AH158" s="25">
        <v>1903.03</v>
      </c>
      <c r="AI158" s="25" t="s">
        <v>88</v>
      </c>
      <c r="AJ158" s="25" t="s">
        <v>89</v>
      </c>
      <c r="AK158" s="32">
        <f t="shared" si="18"/>
        <v>519.71999999999991</v>
      </c>
      <c r="AL158" s="32">
        <f t="shared" si="19"/>
        <v>659.92000000000007</v>
      </c>
      <c r="AM158" s="32">
        <f t="shared" si="20"/>
        <v>4670.1499999999996</v>
      </c>
      <c r="AN158" s="32">
        <f t="shared" si="21"/>
        <v>4967.49</v>
      </c>
      <c r="AO158" s="34">
        <f t="shared" si="22"/>
        <v>0.78755000606134051</v>
      </c>
      <c r="AP158" s="34">
        <f t="shared" si="23"/>
        <v>0.94014280854113441</v>
      </c>
      <c r="AQ158" s="33">
        <f t="shared" si="24"/>
        <v>5523.11</v>
      </c>
      <c r="AR158" s="37">
        <f t="shared" si="25"/>
        <v>1179.6399999999999</v>
      </c>
      <c r="AS158" s="37">
        <f t="shared" si="26"/>
        <v>9637.64</v>
      </c>
    </row>
    <row r="159" spans="1:45" x14ac:dyDescent="0.25">
      <c r="A159" s="26" t="s">
        <v>404</v>
      </c>
      <c r="B159" t="s">
        <v>405</v>
      </c>
      <c r="C159" s="25">
        <v>0</v>
      </c>
      <c r="D159" s="25">
        <v>0</v>
      </c>
      <c r="E159" s="25">
        <v>0</v>
      </c>
      <c r="F159" s="25">
        <v>0</v>
      </c>
      <c r="G159" s="25">
        <v>15.29</v>
      </c>
      <c r="H159" s="25">
        <v>5.07</v>
      </c>
      <c r="I159" s="25">
        <v>131.59</v>
      </c>
      <c r="J159" s="25">
        <v>40.119999999999997</v>
      </c>
      <c r="K159" s="25">
        <v>25.09</v>
      </c>
      <c r="L159" s="25">
        <v>15.02</v>
      </c>
      <c r="M159" s="25">
        <v>289.38</v>
      </c>
      <c r="N159" s="25">
        <v>178.08</v>
      </c>
      <c r="O159" s="25">
        <v>45</v>
      </c>
      <c r="P159" s="25">
        <v>30.24</v>
      </c>
      <c r="Q159" s="25">
        <v>293.27999999999997</v>
      </c>
      <c r="R159" s="25">
        <v>420.6</v>
      </c>
      <c r="S159" s="25">
        <v>25.21</v>
      </c>
      <c r="T159" s="25">
        <v>85.68</v>
      </c>
      <c r="U159" s="25">
        <v>248.13</v>
      </c>
      <c r="V159" s="25">
        <v>465.44</v>
      </c>
      <c r="W159" s="25">
        <v>40.19</v>
      </c>
      <c r="X159" s="25">
        <v>15.14</v>
      </c>
      <c r="Y159" s="25">
        <v>319.02</v>
      </c>
      <c r="Z159" s="25">
        <v>40.42</v>
      </c>
      <c r="AA159" s="25">
        <v>55.9</v>
      </c>
      <c r="AB159" s="25">
        <v>45.84</v>
      </c>
      <c r="AC159" s="25">
        <v>520.6</v>
      </c>
      <c r="AD159" s="25">
        <v>563.02</v>
      </c>
      <c r="AE159" s="25">
        <v>20.170000000000002</v>
      </c>
      <c r="AF159" s="25">
        <v>105.34</v>
      </c>
      <c r="AG159" s="25">
        <v>803</v>
      </c>
      <c r="AH159" s="25">
        <v>903.78</v>
      </c>
      <c r="AI159" s="25" t="s">
        <v>88</v>
      </c>
      <c r="AJ159" s="25" t="s">
        <v>89</v>
      </c>
      <c r="AK159" s="32">
        <f t="shared" si="18"/>
        <v>226.85000000000002</v>
      </c>
      <c r="AL159" s="32">
        <f t="shared" si="19"/>
        <v>302.33</v>
      </c>
      <c r="AM159" s="32">
        <f t="shared" si="20"/>
        <v>2605</v>
      </c>
      <c r="AN159" s="32">
        <f t="shared" si="21"/>
        <v>2611.46</v>
      </c>
      <c r="AO159" s="34">
        <f t="shared" si="22"/>
        <v>0.75033903350643349</v>
      </c>
      <c r="AP159" s="34">
        <f t="shared" si="23"/>
        <v>0.99752628797684051</v>
      </c>
      <c r="AQ159" s="33">
        <f t="shared" si="24"/>
        <v>2727.99</v>
      </c>
      <c r="AR159" s="37">
        <f t="shared" si="25"/>
        <v>529.18000000000006</v>
      </c>
      <c r="AS159" s="37">
        <f t="shared" si="26"/>
        <v>5216.46</v>
      </c>
    </row>
    <row r="160" spans="1:45" x14ac:dyDescent="0.25">
      <c r="A160" s="26" t="s">
        <v>406</v>
      </c>
      <c r="B160" t="s">
        <v>407</v>
      </c>
      <c r="C160" s="25">
        <v>0</v>
      </c>
      <c r="D160" s="25">
        <v>0</v>
      </c>
      <c r="E160" s="25">
        <v>5</v>
      </c>
      <c r="F160" s="25">
        <v>0</v>
      </c>
      <c r="G160" s="25">
        <v>0</v>
      </c>
      <c r="H160" s="25">
        <v>0</v>
      </c>
      <c r="I160" s="25">
        <v>15</v>
      </c>
      <c r="J160" s="25">
        <v>0</v>
      </c>
      <c r="K160" s="25">
        <v>0</v>
      </c>
      <c r="L160" s="25">
        <v>0</v>
      </c>
      <c r="M160" s="25">
        <v>15</v>
      </c>
      <c r="N160" s="25">
        <v>15</v>
      </c>
      <c r="O160" s="25">
        <v>0</v>
      </c>
      <c r="P160" s="25">
        <v>0</v>
      </c>
      <c r="Q160" s="25">
        <v>25</v>
      </c>
      <c r="R160" s="25">
        <v>5</v>
      </c>
      <c r="S160" s="25">
        <v>0</v>
      </c>
      <c r="T160" s="25">
        <v>0</v>
      </c>
      <c r="U160" s="25">
        <v>0</v>
      </c>
      <c r="V160" s="25">
        <v>35</v>
      </c>
      <c r="W160" s="25">
        <v>0</v>
      </c>
      <c r="X160" s="25">
        <v>0</v>
      </c>
      <c r="Y160" s="25">
        <v>15</v>
      </c>
      <c r="Z160" s="25">
        <v>5</v>
      </c>
      <c r="AA160" s="25">
        <v>5</v>
      </c>
      <c r="AB160" s="25">
        <v>0</v>
      </c>
      <c r="AC160" s="25">
        <v>35</v>
      </c>
      <c r="AD160" s="25">
        <v>40</v>
      </c>
      <c r="AE160" s="25">
        <v>0</v>
      </c>
      <c r="AF160" s="25">
        <v>0</v>
      </c>
      <c r="AG160" s="25">
        <v>25</v>
      </c>
      <c r="AH160" s="25">
        <v>40</v>
      </c>
      <c r="AI160" s="25" t="s">
        <v>94</v>
      </c>
      <c r="AJ160" s="25" t="s">
        <v>89</v>
      </c>
      <c r="AK160" s="32">
        <f t="shared" si="18"/>
        <v>5</v>
      </c>
      <c r="AL160" s="32">
        <f t="shared" si="19"/>
        <v>0</v>
      </c>
      <c r="AM160" s="32">
        <f t="shared" si="20"/>
        <v>135</v>
      </c>
      <c r="AN160" s="32">
        <f t="shared" si="21"/>
        <v>140</v>
      </c>
      <c r="AO160" s="34">
        <f t="shared" si="22"/>
        <v>0</v>
      </c>
      <c r="AP160" s="34">
        <f t="shared" si="23"/>
        <v>0.9642857142857143</v>
      </c>
      <c r="AQ160" s="33">
        <f t="shared" si="24"/>
        <v>135</v>
      </c>
      <c r="AR160" s="37">
        <f t="shared" si="25"/>
        <v>5</v>
      </c>
      <c r="AS160" s="37">
        <f t="shared" si="26"/>
        <v>275</v>
      </c>
    </row>
    <row r="161" spans="1:45" x14ac:dyDescent="0.25">
      <c r="A161" s="26" t="s">
        <v>408</v>
      </c>
      <c r="B161" t="s">
        <v>409</v>
      </c>
      <c r="C161" s="25">
        <v>0</v>
      </c>
      <c r="D161" s="25">
        <v>0</v>
      </c>
      <c r="E161" s="25">
        <v>0</v>
      </c>
      <c r="F161" s="25">
        <v>0</v>
      </c>
      <c r="G161" s="25">
        <v>0</v>
      </c>
      <c r="H161" s="25">
        <v>0</v>
      </c>
      <c r="I161" s="25">
        <v>39.96</v>
      </c>
      <c r="J161" s="25">
        <v>29.97</v>
      </c>
      <c r="K161" s="25">
        <v>9.41</v>
      </c>
      <c r="L161" s="25">
        <v>5</v>
      </c>
      <c r="M161" s="25">
        <v>189.83</v>
      </c>
      <c r="N161" s="25">
        <v>149.86000000000001</v>
      </c>
      <c r="O161" s="25">
        <v>9.99</v>
      </c>
      <c r="P161" s="25">
        <v>0</v>
      </c>
      <c r="Q161" s="25">
        <v>224.79</v>
      </c>
      <c r="R161" s="25">
        <v>264.76</v>
      </c>
      <c r="S161" s="25">
        <v>0</v>
      </c>
      <c r="T161" s="25">
        <v>0</v>
      </c>
      <c r="U161" s="25">
        <v>124.89</v>
      </c>
      <c r="V161" s="25">
        <v>264.76</v>
      </c>
      <c r="W161" s="25">
        <v>19.98</v>
      </c>
      <c r="X161" s="25">
        <v>5</v>
      </c>
      <c r="Y161" s="25">
        <v>94.91</v>
      </c>
      <c r="Z161" s="25">
        <v>14.99</v>
      </c>
      <c r="AA161" s="25">
        <v>34.97</v>
      </c>
      <c r="AB161" s="25">
        <v>18.32</v>
      </c>
      <c r="AC161" s="25">
        <v>277.97000000000003</v>
      </c>
      <c r="AD161" s="25">
        <v>449.14</v>
      </c>
      <c r="AE161" s="25">
        <v>19.98</v>
      </c>
      <c r="AF161" s="25">
        <v>34.97</v>
      </c>
      <c r="AG161" s="25">
        <v>373.18</v>
      </c>
      <c r="AH161" s="25">
        <v>409.62</v>
      </c>
      <c r="AI161" s="25" t="s">
        <v>94</v>
      </c>
      <c r="AJ161" s="25" t="s">
        <v>89</v>
      </c>
      <c r="AK161" s="32">
        <f t="shared" si="18"/>
        <v>94.33</v>
      </c>
      <c r="AL161" s="32">
        <f t="shared" si="19"/>
        <v>63.29</v>
      </c>
      <c r="AM161" s="32">
        <f t="shared" si="20"/>
        <v>1325.53</v>
      </c>
      <c r="AN161" s="32">
        <f t="shared" si="21"/>
        <v>1583.1</v>
      </c>
      <c r="AO161" s="34">
        <f t="shared" si="22"/>
        <v>1.4904408279349028</v>
      </c>
      <c r="AP161" s="34">
        <f t="shared" si="23"/>
        <v>0.83730023371865325</v>
      </c>
      <c r="AQ161" s="33">
        <f t="shared" si="24"/>
        <v>1448.1000000000001</v>
      </c>
      <c r="AR161" s="37">
        <f t="shared" si="25"/>
        <v>157.62</v>
      </c>
      <c r="AS161" s="37">
        <f t="shared" si="26"/>
        <v>2908.63</v>
      </c>
    </row>
    <row r="162" spans="1:45" x14ac:dyDescent="0.25">
      <c r="A162" s="26" t="s">
        <v>410</v>
      </c>
      <c r="B162" t="s">
        <v>411</v>
      </c>
      <c r="C162" s="25">
        <v>0</v>
      </c>
      <c r="D162" s="25">
        <v>0</v>
      </c>
      <c r="E162" s="25">
        <v>0</v>
      </c>
      <c r="F162" s="25">
        <v>0</v>
      </c>
      <c r="G162" s="25">
        <v>9.92</v>
      </c>
      <c r="H162" s="25">
        <v>4.96</v>
      </c>
      <c r="I162" s="25">
        <v>24.81</v>
      </c>
      <c r="J162" s="25">
        <v>14.88</v>
      </c>
      <c r="K162" s="25">
        <v>4.96</v>
      </c>
      <c r="L162" s="25">
        <v>4.96</v>
      </c>
      <c r="M162" s="25">
        <v>69.459999999999994</v>
      </c>
      <c r="N162" s="25">
        <v>54.57</v>
      </c>
      <c r="O162" s="25">
        <v>4.96</v>
      </c>
      <c r="P162" s="25">
        <v>4.96</v>
      </c>
      <c r="Q162" s="25">
        <v>69.459999999999994</v>
      </c>
      <c r="R162" s="25">
        <v>94.26</v>
      </c>
      <c r="S162" s="25">
        <v>0</v>
      </c>
      <c r="T162" s="25">
        <v>9.92</v>
      </c>
      <c r="U162" s="25">
        <v>14.88</v>
      </c>
      <c r="V162" s="25">
        <v>44.65</v>
      </c>
      <c r="W162" s="25">
        <v>0</v>
      </c>
      <c r="X162" s="25">
        <v>0</v>
      </c>
      <c r="Y162" s="25">
        <v>19.84</v>
      </c>
      <c r="Z162" s="25">
        <v>0</v>
      </c>
      <c r="AA162" s="25">
        <v>9.92</v>
      </c>
      <c r="AB162" s="25">
        <v>9.92</v>
      </c>
      <c r="AC162" s="25">
        <v>94.26</v>
      </c>
      <c r="AD162" s="25">
        <v>109.14</v>
      </c>
      <c r="AE162" s="25">
        <v>0</v>
      </c>
      <c r="AF162" s="25">
        <v>0</v>
      </c>
      <c r="AG162" s="25">
        <v>89.3</v>
      </c>
      <c r="AH162" s="25">
        <v>124.03</v>
      </c>
      <c r="AI162" s="25" t="s">
        <v>94</v>
      </c>
      <c r="AJ162" s="25" t="s">
        <v>89</v>
      </c>
      <c r="AK162" s="32">
        <f t="shared" si="18"/>
        <v>29.759999999999998</v>
      </c>
      <c r="AL162" s="32">
        <f t="shared" si="19"/>
        <v>34.72</v>
      </c>
      <c r="AM162" s="32">
        <f t="shared" si="20"/>
        <v>382.01</v>
      </c>
      <c r="AN162" s="32">
        <f t="shared" si="21"/>
        <v>441.53</v>
      </c>
      <c r="AO162" s="34">
        <f t="shared" si="22"/>
        <v>0.8571428571428571</v>
      </c>
      <c r="AP162" s="34">
        <f t="shared" si="23"/>
        <v>0.86519602292029985</v>
      </c>
      <c r="AQ162" s="33">
        <f t="shared" si="24"/>
        <v>451.44999999999993</v>
      </c>
      <c r="AR162" s="37">
        <f t="shared" si="25"/>
        <v>64.47999999999999</v>
      </c>
      <c r="AS162" s="37">
        <f t="shared" si="26"/>
        <v>823.54</v>
      </c>
    </row>
    <row r="163" spans="1:45" x14ac:dyDescent="0.25">
      <c r="A163" s="26" t="s">
        <v>412</v>
      </c>
      <c r="B163" t="s">
        <v>413</v>
      </c>
      <c r="C163" s="25">
        <v>0</v>
      </c>
      <c r="D163" s="25">
        <v>0</v>
      </c>
      <c r="E163" s="25">
        <v>17.55</v>
      </c>
      <c r="F163" s="25">
        <v>0</v>
      </c>
      <c r="G163" s="25">
        <v>16.809999999999999</v>
      </c>
      <c r="H163" s="25">
        <v>16.600000000000001</v>
      </c>
      <c r="I163" s="25">
        <v>124.89</v>
      </c>
      <c r="J163" s="25">
        <v>33.33</v>
      </c>
      <c r="K163" s="25">
        <v>22.94</v>
      </c>
      <c r="L163" s="25">
        <v>34.04</v>
      </c>
      <c r="M163" s="25">
        <v>437.89</v>
      </c>
      <c r="N163" s="25">
        <v>311.31</v>
      </c>
      <c r="O163" s="25">
        <v>57.62</v>
      </c>
      <c r="P163" s="25">
        <v>22.83</v>
      </c>
      <c r="Q163" s="25">
        <v>482.9</v>
      </c>
      <c r="R163" s="25">
        <v>427.73</v>
      </c>
      <c r="S163" s="25">
        <v>16.39</v>
      </c>
      <c r="T163" s="25">
        <v>62.8</v>
      </c>
      <c r="U163" s="25">
        <v>103.1</v>
      </c>
      <c r="V163" s="25">
        <v>445.16</v>
      </c>
      <c r="W163" s="25">
        <v>73.37</v>
      </c>
      <c r="X163" s="25">
        <v>16.809999999999999</v>
      </c>
      <c r="Y163" s="25">
        <v>217.37</v>
      </c>
      <c r="Z163" s="25">
        <v>45.78</v>
      </c>
      <c r="AA163" s="25">
        <v>56.98</v>
      </c>
      <c r="AB163" s="25">
        <v>51.71</v>
      </c>
      <c r="AC163" s="25">
        <v>402.56</v>
      </c>
      <c r="AD163" s="25">
        <v>518.66999999999996</v>
      </c>
      <c r="AE163" s="25">
        <v>27.7</v>
      </c>
      <c r="AF163" s="25">
        <v>73.150000000000006</v>
      </c>
      <c r="AG163" s="25">
        <v>861.18</v>
      </c>
      <c r="AH163" s="25">
        <v>898.98</v>
      </c>
      <c r="AI163" s="25" t="s">
        <v>88</v>
      </c>
      <c r="AJ163" s="25" t="s">
        <v>89</v>
      </c>
      <c r="AK163" s="32">
        <f t="shared" si="18"/>
        <v>271.81</v>
      </c>
      <c r="AL163" s="32">
        <f t="shared" si="19"/>
        <v>277.94</v>
      </c>
      <c r="AM163" s="32">
        <f t="shared" si="20"/>
        <v>2647.4399999999996</v>
      </c>
      <c r="AN163" s="32">
        <f t="shared" si="21"/>
        <v>2680.96</v>
      </c>
      <c r="AO163" s="34">
        <f t="shared" si="22"/>
        <v>0.97794488018996906</v>
      </c>
      <c r="AP163" s="34">
        <f t="shared" si="23"/>
        <v>0.98749701599427053</v>
      </c>
      <c r="AQ163" s="33">
        <f t="shared" si="24"/>
        <v>2987.2199999999993</v>
      </c>
      <c r="AR163" s="37">
        <f t="shared" si="25"/>
        <v>549.75</v>
      </c>
      <c r="AS163" s="37">
        <f t="shared" si="26"/>
        <v>5328.4</v>
      </c>
    </row>
    <row r="164" spans="1:45" x14ac:dyDescent="0.25">
      <c r="A164" s="26" t="s">
        <v>414</v>
      </c>
      <c r="B164" t="s">
        <v>415</v>
      </c>
      <c r="C164" s="25">
        <v>0</v>
      </c>
      <c r="D164" s="25">
        <v>0</v>
      </c>
      <c r="E164" s="25">
        <v>0</v>
      </c>
      <c r="F164" s="25">
        <v>0</v>
      </c>
      <c r="G164" s="25">
        <v>255.17</v>
      </c>
      <c r="H164" s="25">
        <v>89.41</v>
      </c>
      <c r="I164" s="25">
        <v>394.97</v>
      </c>
      <c r="J164" s="25">
        <v>112.44</v>
      </c>
      <c r="K164" s="25">
        <v>312.16000000000003</v>
      </c>
      <c r="L164" s="25">
        <v>217.59</v>
      </c>
      <c r="M164" s="25">
        <v>2118.54</v>
      </c>
      <c r="N164" s="25">
        <v>1546.62</v>
      </c>
      <c r="O164" s="25">
        <v>386.86</v>
      </c>
      <c r="P164" s="25">
        <v>376.91</v>
      </c>
      <c r="Q164" s="25">
        <v>2065.5100000000002</v>
      </c>
      <c r="R164" s="25">
        <v>2618.75</v>
      </c>
      <c r="S164" s="25">
        <v>320.13</v>
      </c>
      <c r="T164" s="25">
        <v>1051.01</v>
      </c>
      <c r="U164" s="25">
        <v>1097.8</v>
      </c>
      <c r="V164" s="25">
        <v>2530.85</v>
      </c>
      <c r="W164" s="25">
        <v>978.99</v>
      </c>
      <c r="X164" s="25">
        <v>269.7</v>
      </c>
      <c r="Y164" s="25">
        <v>1418.05</v>
      </c>
      <c r="Z164" s="25">
        <v>200.97</v>
      </c>
      <c r="AA164" s="25">
        <v>643.86</v>
      </c>
      <c r="AB164" s="25">
        <v>484.82</v>
      </c>
      <c r="AC164" s="25">
        <v>2510.87</v>
      </c>
      <c r="AD164" s="25">
        <v>3123.94</v>
      </c>
      <c r="AE164" s="25">
        <v>519.44000000000005</v>
      </c>
      <c r="AF164" s="25">
        <v>1126.42</v>
      </c>
      <c r="AG164" s="25">
        <v>4641.4799999999996</v>
      </c>
      <c r="AH164" s="25">
        <v>5111.7700000000004</v>
      </c>
      <c r="AI164" s="25" t="s">
        <v>101</v>
      </c>
      <c r="AJ164" s="25" t="s">
        <v>89</v>
      </c>
      <c r="AK164" s="32">
        <f t="shared" si="18"/>
        <v>3416.6100000000006</v>
      </c>
      <c r="AL164" s="32">
        <f t="shared" si="19"/>
        <v>3615.86</v>
      </c>
      <c r="AM164" s="32">
        <f t="shared" si="20"/>
        <v>14247.220000000001</v>
      </c>
      <c r="AN164" s="32">
        <f t="shared" si="21"/>
        <v>15245.34</v>
      </c>
      <c r="AO164" s="34">
        <f t="shared" si="22"/>
        <v>0.94489554352214977</v>
      </c>
      <c r="AP164" s="34">
        <f t="shared" si="23"/>
        <v>0.93452950212983121</v>
      </c>
      <c r="AQ164" s="33">
        <f t="shared" si="24"/>
        <v>18362.43</v>
      </c>
      <c r="AR164" s="37">
        <f t="shared" si="25"/>
        <v>7032.4700000000012</v>
      </c>
      <c r="AS164" s="37">
        <f t="shared" si="26"/>
        <v>29492.560000000001</v>
      </c>
    </row>
    <row r="165" spans="1:45" x14ac:dyDescent="0.25">
      <c r="A165" s="26" t="s">
        <v>416</v>
      </c>
      <c r="B165" t="s">
        <v>417</v>
      </c>
      <c r="C165" s="25">
        <v>0</v>
      </c>
      <c r="D165" s="25">
        <v>0</v>
      </c>
      <c r="E165" s="25">
        <v>5.03</v>
      </c>
      <c r="F165" s="25">
        <v>0</v>
      </c>
      <c r="G165" s="25">
        <v>0</v>
      </c>
      <c r="H165" s="25">
        <v>0</v>
      </c>
      <c r="I165" s="25">
        <v>50.34</v>
      </c>
      <c r="J165" s="25">
        <v>15.1</v>
      </c>
      <c r="K165" s="25">
        <v>20.14</v>
      </c>
      <c r="L165" s="25">
        <v>5.03</v>
      </c>
      <c r="M165" s="25">
        <v>140.96</v>
      </c>
      <c r="N165" s="25">
        <v>110.75</v>
      </c>
      <c r="O165" s="25">
        <v>0</v>
      </c>
      <c r="P165" s="25">
        <v>20.14</v>
      </c>
      <c r="Q165" s="25">
        <v>85.58</v>
      </c>
      <c r="R165" s="25">
        <v>75.510000000000005</v>
      </c>
      <c r="S165" s="25">
        <v>5.03</v>
      </c>
      <c r="T165" s="25">
        <v>5.03</v>
      </c>
      <c r="U165" s="25">
        <v>30.2</v>
      </c>
      <c r="V165" s="25">
        <v>135.91999999999999</v>
      </c>
      <c r="W165" s="25">
        <v>20.14</v>
      </c>
      <c r="X165" s="25">
        <v>0</v>
      </c>
      <c r="Y165" s="25">
        <v>50.34</v>
      </c>
      <c r="Z165" s="25">
        <v>10.07</v>
      </c>
      <c r="AA165" s="25">
        <v>5.03</v>
      </c>
      <c r="AB165" s="25">
        <v>5.03</v>
      </c>
      <c r="AC165" s="25">
        <v>156.06</v>
      </c>
      <c r="AD165" s="25">
        <v>176.19</v>
      </c>
      <c r="AE165" s="25">
        <v>0</v>
      </c>
      <c r="AF165" s="25">
        <v>10.07</v>
      </c>
      <c r="AG165" s="25">
        <v>206.4</v>
      </c>
      <c r="AH165" s="25">
        <v>251.71</v>
      </c>
      <c r="AI165" s="25" t="s">
        <v>94</v>
      </c>
      <c r="AJ165" s="25" t="s">
        <v>89</v>
      </c>
      <c r="AK165" s="32">
        <f t="shared" si="18"/>
        <v>50.34</v>
      </c>
      <c r="AL165" s="32">
        <f t="shared" si="19"/>
        <v>45.300000000000004</v>
      </c>
      <c r="AM165" s="32">
        <f t="shared" si="20"/>
        <v>724.91</v>
      </c>
      <c r="AN165" s="32">
        <f t="shared" si="21"/>
        <v>775.25</v>
      </c>
      <c r="AO165" s="34">
        <f t="shared" si="22"/>
        <v>1.1112582781456954</v>
      </c>
      <c r="AP165" s="34">
        <f t="shared" si="23"/>
        <v>0.93506610770719123</v>
      </c>
      <c r="AQ165" s="33">
        <f t="shared" si="24"/>
        <v>785.31000000000006</v>
      </c>
      <c r="AR165" s="37">
        <f t="shared" si="25"/>
        <v>95.640000000000015</v>
      </c>
      <c r="AS165" s="37">
        <f t="shared" si="26"/>
        <v>1500.1599999999999</v>
      </c>
    </row>
    <row r="166" spans="1:45" x14ac:dyDescent="0.25">
      <c r="A166" s="26" t="s">
        <v>418</v>
      </c>
      <c r="B166" t="s">
        <v>419</v>
      </c>
      <c r="C166" s="25">
        <v>0</v>
      </c>
      <c r="D166" s="25">
        <v>0</v>
      </c>
      <c r="E166" s="25">
        <v>5.0199999999999996</v>
      </c>
      <c r="F166" s="25">
        <v>5.0199999999999996</v>
      </c>
      <c r="G166" s="25">
        <v>0</v>
      </c>
      <c r="H166" s="25">
        <v>0</v>
      </c>
      <c r="I166" s="25">
        <v>35.020000000000003</v>
      </c>
      <c r="J166" s="25">
        <v>20.059999999999999</v>
      </c>
      <c r="K166" s="25">
        <v>0</v>
      </c>
      <c r="L166" s="25">
        <v>0</v>
      </c>
      <c r="M166" s="25">
        <v>75.180000000000007</v>
      </c>
      <c r="N166" s="25">
        <v>30</v>
      </c>
      <c r="O166" s="25">
        <v>5.0199999999999996</v>
      </c>
      <c r="P166" s="25">
        <v>0</v>
      </c>
      <c r="Q166" s="25">
        <v>55.08</v>
      </c>
      <c r="R166" s="25">
        <v>120.2</v>
      </c>
      <c r="S166" s="25">
        <v>4.99</v>
      </c>
      <c r="T166" s="25">
        <v>19.91</v>
      </c>
      <c r="U166" s="25">
        <v>29.94</v>
      </c>
      <c r="V166" s="25">
        <v>100.06</v>
      </c>
      <c r="W166" s="25">
        <v>9.9700000000000006</v>
      </c>
      <c r="X166" s="25">
        <v>0</v>
      </c>
      <c r="Y166" s="25">
        <v>104.99</v>
      </c>
      <c r="Z166" s="25">
        <v>19.989999999999998</v>
      </c>
      <c r="AA166" s="25">
        <v>0</v>
      </c>
      <c r="AB166" s="25">
        <v>4.97</v>
      </c>
      <c r="AC166" s="25">
        <v>159.47</v>
      </c>
      <c r="AD166" s="25">
        <v>144.47</v>
      </c>
      <c r="AE166" s="25">
        <v>0</v>
      </c>
      <c r="AF166" s="25">
        <v>0</v>
      </c>
      <c r="AG166" s="25">
        <v>170.83</v>
      </c>
      <c r="AH166" s="25">
        <v>140.68</v>
      </c>
      <c r="AI166" s="25" t="s">
        <v>94</v>
      </c>
      <c r="AJ166" s="25" t="s">
        <v>89</v>
      </c>
      <c r="AK166" s="32">
        <f t="shared" si="18"/>
        <v>19.98</v>
      </c>
      <c r="AL166" s="32">
        <f t="shared" si="19"/>
        <v>24.88</v>
      </c>
      <c r="AM166" s="32">
        <f t="shared" si="20"/>
        <v>635.53000000000009</v>
      </c>
      <c r="AN166" s="32">
        <f t="shared" si="21"/>
        <v>580.48</v>
      </c>
      <c r="AO166" s="34">
        <f t="shared" si="22"/>
        <v>0.80305466237942125</v>
      </c>
      <c r="AP166" s="34">
        <f t="shared" si="23"/>
        <v>1.0948353087100331</v>
      </c>
      <c r="AQ166" s="33">
        <f t="shared" si="24"/>
        <v>640.45000000000005</v>
      </c>
      <c r="AR166" s="37">
        <f t="shared" si="25"/>
        <v>44.86</v>
      </c>
      <c r="AS166" s="37">
        <f t="shared" si="26"/>
        <v>1216.0100000000002</v>
      </c>
    </row>
    <row r="167" spans="1:45" x14ac:dyDescent="0.25">
      <c r="A167" s="26" t="s">
        <v>420</v>
      </c>
      <c r="B167" t="s">
        <v>421</v>
      </c>
      <c r="C167" s="25">
        <v>0</v>
      </c>
      <c r="D167" s="25">
        <v>0</v>
      </c>
      <c r="E167" s="25">
        <v>0</v>
      </c>
      <c r="F167" s="25">
        <v>0</v>
      </c>
      <c r="G167" s="25">
        <v>15</v>
      </c>
      <c r="H167" s="25">
        <v>0</v>
      </c>
      <c r="I167" s="25">
        <v>120</v>
      </c>
      <c r="J167" s="25">
        <v>60</v>
      </c>
      <c r="K167" s="25">
        <v>70</v>
      </c>
      <c r="L167" s="25">
        <v>40</v>
      </c>
      <c r="M167" s="25">
        <v>470</v>
      </c>
      <c r="N167" s="25">
        <v>345</v>
      </c>
      <c r="O167" s="25">
        <v>50</v>
      </c>
      <c r="P167" s="25">
        <v>55</v>
      </c>
      <c r="Q167" s="25">
        <v>325</v>
      </c>
      <c r="R167" s="25">
        <v>585</v>
      </c>
      <c r="S167" s="25">
        <v>15</v>
      </c>
      <c r="T167" s="25">
        <v>95</v>
      </c>
      <c r="U167" s="25">
        <v>195</v>
      </c>
      <c r="V167" s="25">
        <v>440</v>
      </c>
      <c r="W167" s="25">
        <v>70</v>
      </c>
      <c r="X167" s="25">
        <v>10</v>
      </c>
      <c r="Y167" s="25">
        <v>270</v>
      </c>
      <c r="Z167" s="25">
        <v>50</v>
      </c>
      <c r="AA167" s="25">
        <v>45</v>
      </c>
      <c r="AB167" s="25">
        <v>55</v>
      </c>
      <c r="AC167" s="25">
        <v>730</v>
      </c>
      <c r="AD167" s="25">
        <v>920</v>
      </c>
      <c r="AE167" s="25">
        <v>25</v>
      </c>
      <c r="AF167" s="25">
        <v>35</v>
      </c>
      <c r="AG167" s="25">
        <v>1050</v>
      </c>
      <c r="AH167" s="25">
        <v>980</v>
      </c>
      <c r="AI167" s="25" t="s">
        <v>88</v>
      </c>
      <c r="AJ167" s="25" t="s">
        <v>89</v>
      </c>
      <c r="AK167" s="32">
        <f t="shared" si="18"/>
        <v>290</v>
      </c>
      <c r="AL167" s="32">
        <f t="shared" si="19"/>
        <v>290</v>
      </c>
      <c r="AM167" s="32">
        <f t="shared" si="20"/>
        <v>3160</v>
      </c>
      <c r="AN167" s="32">
        <f t="shared" si="21"/>
        <v>3380</v>
      </c>
      <c r="AO167" s="34">
        <f t="shared" si="22"/>
        <v>1</v>
      </c>
      <c r="AP167" s="34">
        <f t="shared" si="23"/>
        <v>0.9349112426035503</v>
      </c>
      <c r="AQ167" s="33">
        <f t="shared" si="24"/>
        <v>3280</v>
      </c>
      <c r="AR167" s="37">
        <f t="shared" si="25"/>
        <v>580</v>
      </c>
      <c r="AS167" s="37">
        <f t="shared" si="26"/>
        <v>6540</v>
      </c>
    </row>
    <row r="168" spans="1:45" x14ac:dyDescent="0.25">
      <c r="A168" s="26" t="s">
        <v>422</v>
      </c>
      <c r="B168" t="s">
        <v>423</v>
      </c>
      <c r="C168" s="25">
        <v>0</v>
      </c>
      <c r="D168" s="25">
        <v>0</v>
      </c>
      <c r="E168" s="25">
        <v>0</v>
      </c>
      <c r="F168" s="25">
        <v>0</v>
      </c>
      <c r="G168" s="25">
        <v>0</v>
      </c>
      <c r="H168" s="25">
        <v>0</v>
      </c>
      <c r="I168" s="25">
        <v>0</v>
      </c>
      <c r="J168" s="25">
        <v>0</v>
      </c>
      <c r="K168" s="25">
        <v>0</v>
      </c>
      <c r="L168" s="25">
        <v>5</v>
      </c>
      <c r="M168" s="25">
        <v>20</v>
      </c>
      <c r="N168" s="25">
        <v>15</v>
      </c>
      <c r="O168" s="25">
        <v>0</v>
      </c>
      <c r="P168" s="25">
        <v>10</v>
      </c>
      <c r="Q168" s="25">
        <v>45</v>
      </c>
      <c r="R168" s="25">
        <v>20</v>
      </c>
      <c r="S168" s="25">
        <v>0</v>
      </c>
      <c r="T168" s="25">
        <v>20</v>
      </c>
      <c r="U168" s="25">
        <v>10</v>
      </c>
      <c r="V168" s="25">
        <v>55</v>
      </c>
      <c r="W168" s="25">
        <v>5</v>
      </c>
      <c r="X168" s="25">
        <v>0</v>
      </c>
      <c r="Y168" s="25">
        <v>10</v>
      </c>
      <c r="Z168" s="25">
        <v>5</v>
      </c>
      <c r="AA168" s="25">
        <v>0</v>
      </c>
      <c r="AB168" s="25">
        <v>0</v>
      </c>
      <c r="AC168" s="25">
        <v>30</v>
      </c>
      <c r="AD168" s="25">
        <v>30</v>
      </c>
      <c r="AE168" s="25">
        <v>5</v>
      </c>
      <c r="AF168" s="25">
        <v>15</v>
      </c>
      <c r="AG168" s="25">
        <v>50</v>
      </c>
      <c r="AH168" s="25">
        <v>80</v>
      </c>
      <c r="AI168" s="25" t="s">
        <v>94</v>
      </c>
      <c r="AJ168" s="25" t="s">
        <v>89</v>
      </c>
      <c r="AK168" s="32">
        <f t="shared" si="18"/>
        <v>10</v>
      </c>
      <c r="AL168" s="32">
        <f t="shared" si="19"/>
        <v>50</v>
      </c>
      <c r="AM168" s="32">
        <f t="shared" si="20"/>
        <v>165</v>
      </c>
      <c r="AN168" s="32">
        <f t="shared" si="21"/>
        <v>205</v>
      </c>
      <c r="AO168" s="34">
        <f t="shared" si="22"/>
        <v>0.2</v>
      </c>
      <c r="AP168" s="34">
        <f t="shared" si="23"/>
        <v>0.80487804878048785</v>
      </c>
      <c r="AQ168" s="33">
        <f t="shared" si="24"/>
        <v>220</v>
      </c>
      <c r="AR168" s="37">
        <f t="shared" si="25"/>
        <v>60</v>
      </c>
      <c r="AS168" s="37">
        <f t="shared" si="26"/>
        <v>370</v>
      </c>
    </row>
    <row r="169" spans="1:45" x14ac:dyDescent="0.25">
      <c r="A169" s="26" t="s">
        <v>424</v>
      </c>
      <c r="B169" t="s">
        <v>425</v>
      </c>
      <c r="C169" s="25">
        <v>0</v>
      </c>
      <c r="D169" s="25">
        <v>0</v>
      </c>
      <c r="E169" s="25">
        <v>0</v>
      </c>
      <c r="F169" s="25">
        <v>0</v>
      </c>
      <c r="G169" s="25">
        <v>0</v>
      </c>
      <c r="H169" s="25">
        <v>0</v>
      </c>
      <c r="I169" s="25">
        <v>0</v>
      </c>
      <c r="J169" s="25">
        <v>10</v>
      </c>
      <c r="K169" s="25">
        <v>0</v>
      </c>
      <c r="L169" s="25">
        <v>0</v>
      </c>
      <c r="M169" s="25">
        <v>20</v>
      </c>
      <c r="N169" s="25">
        <v>10</v>
      </c>
      <c r="O169" s="25">
        <v>0</v>
      </c>
      <c r="P169" s="25">
        <v>5</v>
      </c>
      <c r="Q169" s="25">
        <v>5</v>
      </c>
      <c r="R169" s="25">
        <v>10</v>
      </c>
      <c r="S169" s="25">
        <v>0</v>
      </c>
      <c r="T169" s="25">
        <v>0</v>
      </c>
      <c r="U169" s="25">
        <v>0</v>
      </c>
      <c r="V169" s="25">
        <v>5</v>
      </c>
      <c r="W169" s="25">
        <v>0</v>
      </c>
      <c r="X169" s="25">
        <v>0</v>
      </c>
      <c r="Y169" s="25">
        <v>20</v>
      </c>
      <c r="Z169" s="25">
        <v>0</v>
      </c>
      <c r="AA169" s="25">
        <v>0</v>
      </c>
      <c r="AB169" s="25">
        <v>0</v>
      </c>
      <c r="AC169" s="25">
        <v>30</v>
      </c>
      <c r="AD169" s="25">
        <v>25</v>
      </c>
      <c r="AE169" s="25">
        <v>0</v>
      </c>
      <c r="AF169" s="25">
        <v>0</v>
      </c>
      <c r="AG169" s="25">
        <v>25</v>
      </c>
      <c r="AH169" s="25">
        <v>50</v>
      </c>
      <c r="AI169" s="25" t="s">
        <v>88</v>
      </c>
      <c r="AJ169" s="25" t="s">
        <v>89</v>
      </c>
      <c r="AK169" s="32">
        <f t="shared" si="18"/>
        <v>0</v>
      </c>
      <c r="AL169" s="32">
        <f t="shared" si="19"/>
        <v>5</v>
      </c>
      <c r="AM169" s="32">
        <f t="shared" si="20"/>
        <v>100</v>
      </c>
      <c r="AN169" s="32">
        <f t="shared" si="21"/>
        <v>110</v>
      </c>
      <c r="AO169" s="34">
        <f t="shared" si="22"/>
        <v>0</v>
      </c>
      <c r="AP169" s="34">
        <f t="shared" si="23"/>
        <v>0.90909090909090906</v>
      </c>
      <c r="AQ169" s="33">
        <f t="shared" si="24"/>
        <v>85</v>
      </c>
      <c r="AR169" s="37">
        <f t="shared" si="25"/>
        <v>5</v>
      </c>
      <c r="AS169" s="37">
        <f t="shared" si="26"/>
        <v>210</v>
      </c>
    </row>
    <row r="170" spans="1:45" x14ac:dyDescent="0.25">
      <c r="A170" s="26" t="s">
        <v>426</v>
      </c>
      <c r="B170" t="s">
        <v>427</v>
      </c>
      <c r="C170" s="25">
        <v>0</v>
      </c>
      <c r="D170" s="25">
        <v>0</v>
      </c>
      <c r="E170" s="25">
        <v>0</v>
      </c>
      <c r="F170" s="25">
        <v>0</v>
      </c>
      <c r="G170" s="25">
        <v>29.06</v>
      </c>
      <c r="H170" s="25">
        <v>17.89</v>
      </c>
      <c r="I170" s="25">
        <v>41.31</v>
      </c>
      <c r="J170" s="25">
        <v>10.99</v>
      </c>
      <c r="K170" s="25">
        <v>46.41</v>
      </c>
      <c r="L170" s="25">
        <v>17.71</v>
      </c>
      <c r="M170" s="25">
        <v>282.14</v>
      </c>
      <c r="N170" s="25">
        <v>200.67</v>
      </c>
      <c r="O170" s="25">
        <v>23.61</v>
      </c>
      <c r="P170" s="25">
        <v>40.590000000000003</v>
      </c>
      <c r="Q170" s="25">
        <v>288.22000000000003</v>
      </c>
      <c r="R170" s="25">
        <v>440.78</v>
      </c>
      <c r="S170" s="25">
        <v>16.62</v>
      </c>
      <c r="T170" s="25">
        <v>81.72</v>
      </c>
      <c r="U170" s="25">
        <v>170.43</v>
      </c>
      <c r="V170" s="25">
        <v>288.95</v>
      </c>
      <c r="W170" s="25">
        <v>34.96</v>
      </c>
      <c r="X170" s="25">
        <v>11.62</v>
      </c>
      <c r="Y170" s="25">
        <v>94.35</v>
      </c>
      <c r="Z170" s="25">
        <v>5.99</v>
      </c>
      <c r="AA170" s="25">
        <v>5.64</v>
      </c>
      <c r="AB170" s="25">
        <v>5.64</v>
      </c>
      <c r="AC170" s="25">
        <v>137.93</v>
      </c>
      <c r="AD170" s="25">
        <v>204.59</v>
      </c>
      <c r="AE170" s="25">
        <v>33.159999999999997</v>
      </c>
      <c r="AF170" s="25">
        <v>61.77</v>
      </c>
      <c r="AG170" s="25">
        <v>690.51</v>
      </c>
      <c r="AH170" s="25">
        <v>733.16</v>
      </c>
      <c r="AI170" s="25" t="s">
        <v>88</v>
      </c>
      <c r="AJ170" s="25" t="s">
        <v>89</v>
      </c>
      <c r="AK170" s="32">
        <f t="shared" si="18"/>
        <v>189.45999999999998</v>
      </c>
      <c r="AL170" s="32">
        <f t="shared" si="19"/>
        <v>236.94</v>
      </c>
      <c r="AM170" s="32">
        <f t="shared" si="20"/>
        <v>1704.89</v>
      </c>
      <c r="AN170" s="32">
        <f t="shared" si="21"/>
        <v>1885.1299999999997</v>
      </c>
      <c r="AO170" s="34">
        <f t="shared" si="22"/>
        <v>0.79961171604625636</v>
      </c>
      <c r="AP170" s="34">
        <f t="shared" si="23"/>
        <v>0.90438855675735907</v>
      </c>
      <c r="AQ170" s="33">
        <f t="shared" si="24"/>
        <v>2144.02</v>
      </c>
      <c r="AR170" s="37">
        <f t="shared" si="25"/>
        <v>426.4</v>
      </c>
      <c r="AS170" s="37">
        <f t="shared" si="26"/>
        <v>3590.0199999999995</v>
      </c>
    </row>
    <row r="171" spans="1:45" x14ac:dyDescent="0.25">
      <c r="A171" s="26" t="s">
        <v>428</v>
      </c>
      <c r="B171" t="s">
        <v>429</v>
      </c>
      <c r="C171" s="25">
        <v>0</v>
      </c>
      <c r="D171" s="25">
        <v>0</v>
      </c>
      <c r="E171" s="25">
        <v>0</v>
      </c>
      <c r="F171" s="25">
        <v>0</v>
      </c>
      <c r="G171" s="25">
        <v>0</v>
      </c>
      <c r="H171" s="25">
        <v>0</v>
      </c>
      <c r="I171" s="25">
        <v>0</v>
      </c>
      <c r="J171" s="25">
        <v>4.96</v>
      </c>
      <c r="K171" s="25">
        <v>4.96</v>
      </c>
      <c r="L171" s="25">
        <v>0</v>
      </c>
      <c r="M171" s="25">
        <v>24.82</v>
      </c>
      <c r="N171" s="25">
        <v>14.89</v>
      </c>
      <c r="O171" s="25">
        <v>0</v>
      </c>
      <c r="P171" s="25">
        <v>0</v>
      </c>
      <c r="Q171" s="25">
        <v>14.89</v>
      </c>
      <c r="R171" s="25">
        <v>0</v>
      </c>
      <c r="S171" s="25">
        <v>0</v>
      </c>
      <c r="T171" s="25">
        <v>0</v>
      </c>
      <c r="U171" s="25">
        <v>9.93</v>
      </c>
      <c r="V171" s="25">
        <v>34.74</v>
      </c>
      <c r="W171" s="25">
        <v>9.93</v>
      </c>
      <c r="X171" s="25">
        <v>4.96</v>
      </c>
      <c r="Y171" s="25">
        <v>9.93</v>
      </c>
      <c r="Z171" s="25">
        <v>0</v>
      </c>
      <c r="AA171" s="25">
        <v>0</v>
      </c>
      <c r="AB171" s="25">
        <v>0</v>
      </c>
      <c r="AC171" s="25">
        <v>19.850000000000001</v>
      </c>
      <c r="AD171" s="25">
        <v>19.850000000000001</v>
      </c>
      <c r="AE171" s="25">
        <v>0</v>
      </c>
      <c r="AF171" s="25">
        <v>4.96</v>
      </c>
      <c r="AG171" s="25">
        <v>54.6</v>
      </c>
      <c r="AH171" s="25">
        <v>34.74</v>
      </c>
      <c r="AI171" s="25" t="s">
        <v>94</v>
      </c>
      <c r="AJ171" s="25" t="s">
        <v>89</v>
      </c>
      <c r="AK171" s="32">
        <f t="shared" si="18"/>
        <v>14.89</v>
      </c>
      <c r="AL171" s="32">
        <f t="shared" si="19"/>
        <v>9.92</v>
      </c>
      <c r="AM171" s="32">
        <f t="shared" si="20"/>
        <v>134.02000000000001</v>
      </c>
      <c r="AN171" s="32">
        <f t="shared" si="21"/>
        <v>109.18</v>
      </c>
      <c r="AO171" s="34">
        <f t="shared" si="22"/>
        <v>1.501008064516129</v>
      </c>
      <c r="AP171" s="34">
        <f t="shared" si="23"/>
        <v>1.2275141967393295</v>
      </c>
      <c r="AQ171" s="33">
        <f t="shared" si="24"/>
        <v>134.01000000000002</v>
      </c>
      <c r="AR171" s="37">
        <f t="shared" si="25"/>
        <v>24.810000000000002</v>
      </c>
      <c r="AS171" s="37">
        <f t="shared" si="26"/>
        <v>243.20000000000002</v>
      </c>
    </row>
    <row r="172" spans="1:45" x14ac:dyDescent="0.25">
      <c r="A172" s="26" t="s">
        <v>430</v>
      </c>
      <c r="B172" t="s">
        <v>431</v>
      </c>
      <c r="C172" s="25">
        <v>0</v>
      </c>
      <c r="D172" s="25">
        <v>0</v>
      </c>
      <c r="E172" s="25">
        <v>0</v>
      </c>
      <c r="F172" s="25">
        <v>0</v>
      </c>
      <c r="G172" s="25">
        <v>4.9800000000000004</v>
      </c>
      <c r="H172" s="25">
        <v>4.9800000000000004</v>
      </c>
      <c r="I172" s="25">
        <v>15.01</v>
      </c>
      <c r="J172" s="25">
        <v>4.9800000000000004</v>
      </c>
      <c r="K172" s="25">
        <v>0</v>
      </c>
      <c r="L172" s="25">
        <v>0</v>
      </c>
      <c r="M172" s="25">
        <v>20.13</v>
      </c>
      <c r="N172" s="25">
        <v>10.050000000000001</v>
      </c>
      <c r="O172" s="25">
        <v>5.04</v>
      </c>
      <c r="P172" s="25">
        <v>0</v>
      </c>
      <c r="Q172" s="25">
        <v>30.01</v>
      </c>
      <c r="R172" s="25">
        <v>45.3</v>
      </c>
      <c r="S172" s="25">
        <v>0</v>
      </c>
      <c r="T172" s="25">
        <v>0</v>
      </c>
      <c r="U172" s="25">
        <v>50.31</v>
      </c>
      <c r="V172" s="25">
        <v>30.04</v>
      </c>
      <c r="W172" s="25">
        <v>0</v>
      </c>
      <c r="X172" s="25">
        <v>0</v>
      </c>
      <c r="Y172" s="25">
        <v>45.1</v>
      </c>
      <c r="Z172" s="25">
        <v>10.11</v>
      </c>
      <c r="AA172" s="25">
        <v>9.99</v>
      </c>
      <c r="AB172" s="25">
        <v>5.01</v>
      </c>
      <c r="AC172" s="25">
        <v>64.73</v>
      </c>
      <c r="AD172" s="25">
        <v>59.74</v>
      </c>
      <c r="AE172" s="25">
        <v>4.9800000000000004</v>
      </c>
      <c r="AF172" s="25">
        <v>0</v>
      </c>
      <c r="AG172" s="25">
        <v>80.599999999999994</v>
      </c>
      <c r="AH172" s="25">
        <v>95.63</v>
      </c>
      <c r="AI172" s="25" t="s">
        <v>88</v>
      </c>
      <c r="AJ172" s="25" t="s">
        <v>89</v>
      </c>
      <c r="AK172" s="32">
        <f t="shared" si="18"/>
        <v>24.99</v>
      </c>
      <c r="AL172" s="32">
        <f t="shared" si="19"/>
        <v>9.99</v>
      </c>
      <c r="AM172" s="32">
        <f t="shared" si="20"/>
        <v>305.89</v>
      </c>
      <c r="AN172" s="32">
        <f t="shared" si="21"/>
        <v>255.85</v>
      </c>
      <c r="AO172" s="34">
        <f t="shared" si="22"/>
        <v>2.5015015015015014</v>
      </c>
      <c r="AP172" s="34">
        <f t="shared" si="23"/>
        <v>1.1955833496189172</v>
      </c>
      <c r="AQ172" s="33">
        <f t="shared" si="24"/>
        <v>276.04000000000002</v>
      </c>
      <c r="AR172" s="37">
        <f t="shared" si="25"/>
        <v>34.979999999999997</v>
      </c>
      <c r="AS172" s="37">
        <f t="shared" si="26"/>
        <v>561.74</v>
      </c>
    </row>
    <row r="173" spans="1:45" x14ac:dyDescent="0.25">
      <c r="A173" s="26" t="s">
        <v>432</v>
      </c>
      <c r="B173" t="s">
        <v>433</v>
      </c>
      <c r="C173" s="25">
        <v>0</v>
      </c>
      <c r="D173" s="25">
        <v>0</v>
      </c>
      <c r="E173" s="25">
        <v>0</v>
      </c>
      <c r="F173" s="25">
        <v>0</v>
      </c>
      <c r="G173" s="25">
        <v>5</v>
      </c>
      <c r="H173" s="25">
        <v>0</v>
      </c>
      <c r="I173" s="25">
        <v>45</v>
      </c>
      <c r="J173" s="25">
        <v>15</v>
      </c>
      <c r="K173" s="25">
        <v>10</v>
      </c>
      <c r="L173" s="25">
        <v>15</v>
      </c>
      <c r="M173" s="25">
        <v>110</v>
      </c>
      <c r="N173" s="25">
        <v>75</v>
      </c>
      <c r="O173" s="25">
        <v>5</v>
      </c>
      <c r="P173" s="25">
        <v>5</v>
      </c>
      <c r="Q173" s="25">
        <v>115</v>
      </c>
      <c r="R173" s="25">
        <v>170</v>
      </c>
      <c r="S173" s="25">
        <v>0</v>
      </c>
      <c r="T173" s="25">
        <v>10</v>
      </c>
      <c r="U173" s="25">
        <v>40</v>
      </c>
      <c r="V173" s="25">
        <v>50</v>
      </c>
      <c r="W173" s="25">
        <v>5</v>
      </c>
      <c r="X173" s="25">
        <v>0</v>
      </c>
      <c r="Y173" s="25">
        <v>45</v>
      </c>
      <c r="Z173" s="25">
        <v>25</v>
      </c>
      <c r="AA173" s="25">
        <v>0</v>
      </c>
      <c r="AB173" s="25">
        <v>0</v>
      </c>
      <c r="AC173" s="25">
        <v>140</v>
      </c>
      <c r="AD173" s="25">
        <v>140</v>
      </c>
      <c r="AE173" s="25">
        <v>0</v>
      </c>
      <c r="AF173" s="25">
        <v>0</v>
      </c>
      <c r="AG173" s="25">
        <v>205</v>
      </c>
      <c r="AH173" s="25">
        <v>235</v>
      </c>
      <c r="AI173" s="25" t="s">
        <v>94</v>
      </c>
      <c r="AJ173" s="25" t="s">
        <v>89</v>
      </c>
      <c r="AK173" s="32">
        <f t="shared" si="18"/>
        <v>25</v>
      </c>
      <c r="AL173" s="32">
        <f t="shared" si="19"/>
        <v>30</v>
      </c>
      <c r="AM173" s="32">
        <f t="shared" si="20"/>
        <v>700</v>
      </c>
      <c r="AN173" s="32">
        <f t="shared" si="21"/>
        <v>710</v>
      </c>
      <c r="AO173" s="34">
        <f t="shared" si="22"/>
        <v>0.83333333333333337</v>
      </c>
      <c r="AP173" s="34">
        <f t="shared" si="23"/>
        <v>0.9859154929577465</v>
      </c>
      <c r="AQ173" s="33">
        <f t="shared" si="24"/>
        <v>745</v>
      </c>
      <c r="AR173" s="37">
        <f t="shared" si="25"/>
        <v>55</v>
      </c>
      <c r="AS173" s="37">
        <f t="shared" si="26"/>
        <v>1410</v>
      </c>
    </row>
    <row r="174" spans="1:45" x14ac:dyDescent="0.25">
      <c r="A174" s="26" t="s">
        <v>434</v>
      </c>
      <c r="B174" t="s">
        <v>435</v>
      </c>
      <c r="C174" s="25">
        <v>0</v>
      </c>
      <c r="D174" s="25">
        <v>0</v>
      </c>
      <c r="E174" s="25">
        <v>5.01</v>
      </c>
      <c r="F174" s="25">
        <v>0</v>
      </c>
      <c r="G174" s="25">
        <v>10.029999999999999</v>
      </c>
      <c r="H174" s="25">
        <v>15.04</v>
      </c>
      <c r="I174" s="25">
        <v>45.11</v>
      </c>
      <c r="J174" s="25">
        <v>15.04</v>
      </c>
      <c r="K174" s="25">
        <v>10.029999999999999</v>
      </c>
      <c r="L174" s="25">
        <v>5.01</v>
      </c>
      <c r="M174" s="25">
        <v>180.45</v>
      </c>
      <c r="N174" s="25">
        <v>115.29</v>
      </c>
      <c r="O174" s="25">
        <v>20.05</v>
      </c>
      <c r="P174" s="25">
        <v>15.04</v>
      </c>
      <c r="Q174" s="25">
        <v>115.29</v>
      </c>
      <c r="R174" s="25">
        <v>205.51</v>
      </c>
      <c r="S174" s="25">
        <v>0</v>
      </c>
      <c r="T174" s="25">
        <v>35.090000000000003</v>
      </c>
      <c r="U174" s="25">
        <v>70.180000000000007</v>
      </c>
      <c r="V174" s="25">
        <v>175.44</v>
      </c>
      <c r="W174" s="25">
        <v>35.090000000000003</v>
      </c>
      <c r="X174" s="25">
        <v>0</v>
      </c>
      <c r="Y174" s="25">
        <v>60.15</v>
      </c>
      <c r="Z174" s="25">
        <v>20.05</v>
      </c>
      <c r="AA174" s="25">
        <v>35.090000000000003</v>
      </c>
      <c r="AB174" s="25">
        <v>10.029999999999999</v>
      </c>
      <c r="AC174" s="25">
        <v>185.46</v>
      </c>
      <c r="AD174" s="25">
        <v>230.58</v>
      </c>
      <c r="AE174" s="25">
        <v>39.78</v>
      </c>
      <c r="AF174" s="25">
        <v>29.75</v>
      </c>
      <c r="AG174" s="25">
        <v>289.76</v>
      </c>
      <c r="AH174" s="25">
        <v>319.83</v>
      </c>
      <c r="AI174" s="25" t="s">
        <v>94</v>
      </c>
      <c r="AJ174" s="25" t="s">
        <v>89</v>
      </c>
      <c r="AK174" s="32">
        <f t="shared" si="18"/>
        <v>150.07</v>
      </c>
      <c r="AL174" s="32">
        <f t="shared" si="19"/>
        <v>109.96000000000001</v>
      </c>
      <c r="AM174" s="32">
        <f t="shared" si="20"/>
        <v>951.41</v>
      </c>
      <c r="AN174" s="32">
        <f t="shared" si="21"/>
        <v>1081.74</v>
      </c>
      <c r="AO174" s="34">
        <f t="shared" si="22"/>
        <v>1.3647690069116041</v>
      </c>
      <c r="AP174" s="34">
        <f t="shared" si="23"/>
        <v>0.87951818366705492</v>
      </c>
      <c r="AQ174" s="33">
        <f t="shared" si="24"/>
        <v>1152.9000000000001</v>
      </c>
      <c r="AR174" s="37">
        <f t="shared" si="25"/>
        <v>260.02999999999997</v>
      </c>
      <c r="AS174" s="37">
        <f t="shared" si="26"/>
        <v>2033.15</v>
      </c>
    </row>
    <row r="175" spans="1:45" x14ac:dyDescent="0.25">
      <c r="A175" s="26" t="s">
        <v>436</v>
      </c>
      <c r="B175" t="s">
        <v>437</v>
      </c>
      <c r="C175" s="25">
        <v>0</v>
      </c>
      <c r="D175" s="25">
        <v>0</v>
      </c>
      <c r="E175" s="25">
        <v>0</v>
      </c>
      <c r="F175" s="25">
        <v>0</v>
      </c>
      <c r="G175" s="25">
        <v>4.5999999999999996</v>
      </c>
      <c r="H175" s="25">
        <v>0</v>
      </c>
      <c r="I175" s="25">
        <v>30.3</v>
      </c>
      <c r="J175" s="25">
        <v>5.07</v>
      </c>
      <c r="K175" s="25">
        <v>14.9</v>
      </c>
      <c r="L175" s="25">
        <v>0</v>
      </c>
      <c r="M175" s="25">
        <v>60.3</v>
      </c>
      <c r="N175" s="25">
        <v>69.12</v>
      </c>
      <c r="O175" s="25">
        <v>0</v>
      </c>
      <c r="P175" s="25">
        <v>4.91</v>
      </c>
      <c r="Q175" s="25">
        <v>101.21</v>
      </c>
      <c r="R175" s="25">
        <v>91.21</v>
      </c>
      <c r="S175" s="25">
        <v>0</v>
      </c>
      <c r="T175" s="25">
        <v>15.07</v>
      </c>
      <c r="U175" s="25">
        <v>45.23</v>
      </c>
      <c r="V175" s="25">
        <v>106.79</v>
      </c>
      <c r="W175" s="25">
        <v>14.9</v>
      </c>
      <c r="X175" s="25">
        <v>0</v>
      </c>
      <c r="Y175" s="25">
        <v>36.71</v>
      </c>
      <c r="Z175" s="25">
        <v>10.31</v>
      </c>
      <c r="AA175" s="25">
        <v>5.24</v>
      </c>
      <c r="AB175" s="25">
        <v>5.24</v>
      </c>
      <c r="AC175" s="25">
        <v>126.66</v>
      </c>
      <c r="AD175" s="25">
        <v>175.99</v>
      </c>
      <c r="AE175" s="25">
        <v>15</v>
      </c>
      <c r="AF175" s="25">
        <v>0</v>
      </c>
      <c r="AG175" s="25">
        <v>166.71</v>
      </c>
      <c r="AH175" s="25">
        <v>171.71</v>
      </c>
      <c r="AI175" s="25" t="s">
        <v>94</v>
      </c>
      <c r="AJ175" s="25" t="s">
        <v>89</v>
      </c>
      <c r="AK175" s="32">
        <f t="shared" si="18"/>
        <v>54.64</v>
      </c>
      <c r="AL175" s="32">
        <f t="shared" si="19"/>
        <v>25.22</v>
      </c>
      <c r="AM175" s="32">
        <f t="shared" si="20"/>
        <v>567.12</v>
      </c>
      <c r="AN175" s="32">
        <f t="shared" si="21"/>
        <v>630.20000000000005</v>
      </c>
      <c r="AO175" s="34">
        <f t="shared" si="22"/>
        <v>2.1665344964314039</v>
      </c>
      <c r="AP175" s="34">
        <f t="shared" si="23"/>
        <v>0.8999047921294826</v>
      </c>
      <c r="AQ175" s="33">
        <f t="shared" si="24"/>
        <v>610.62999999999988</v>
      </c>
      <c r="AR175" s="37">
        <f t="shared" si="25"/>
        <v>79.86</v>
      </c>
      <c r="AS175" s="37">
        <f t="shared" si="26"/>
        <v>1197.3200000000002</v>
      </c>
    </row>
    <row r="176" spans="1:45" x14ac:dyDescent="0.25">
      <c r="A176" s="26" t="s">
        <v>438</v>
      </c>
      <c r="B176" t="s">
        <v>439</v>
      </c>
      <c r="C176" s="25">
        <v>0</v>
      </c>
      <c r="D176" s="25">
        <v>0</v>
      </c>
      <c r="E176" s="25">
        <v>0</v>
      </c>
      <c r="F176" s="25">
        <v>0</v>
      </c>
      <c r="G176" s="25">
        <v>0</v>
      </c>
      <c r="H176" s="25">
        <v>0</v>
      </c>
      <c r="I176" s="25">
        <v>54.52</v>
      </c>
      <c r="J176" s="25">
        <v>9.91</v>
      </c>
      <c r="K176" s="25">
        <v>19.82</v>
      </c>
      <c r="L176" s="25">
        <v>9.91</v>
      </c>
      <c r="M176" s="25">
        <v>208.16</v>
      </c>
      <c r="N176" s="25">
        <v>193.29</v>
      </c>
      <c r="O176" s="25">
        <v>0</v>
      </c>
      <c r="P176" s="25">
        <v>24.78</v>
      </c>
      <c r="Q176" s="25">
        <v>113.99</v>
      </c>
      <c r="R176" s="25">
        <v>178.42</v>
      </c>
      <c r="S176" s="25">
        <v>4.96</v>
      </c>
      <c r="T176" s="25">
        <v>4.96</v>
      </c>
      <c r="U176" s="25">
        <v>39.65</v>
      </c>
      <c r="V176" s="25">
        <v>84.26</v>
      </c>
      <c r="W176" s="25">
        <v>0</v>
      </c>
      <c r="X176" s="25">
        <v>0</v>
      </c>
      <c r="Y176" s="25">
        <v>19.82</v>
      </c>
      <c r="Z176" s="25">
        <v>4.96</v>
      </c>
      <c r="AA176" s="25">
        <v>19.82</v>
      </c>
      <c r="AB176" s="25">
        <v>9.91</v>
      </c>
      <c r="AC176" s="25">
        <v>158.6</v>
      </c>
      <c r="AD176" s="25">
        <v>231.86</v>
      </c>
      <c r="AE176" s="25">
        <v>4.96</v>
      </c>
      <c r="AF176" s="25">
        <v>9.91</v>
      </c>
      <c r="AG176" s="25">
        <v>272.58999999999997</v>
      </c>
      <c r="AH176" s="25">
        <v>312.86</v>
      </c>
      <c r="AI176" s="25" t="s">
        <v>88</v>
      </c>
      <c r="AJ176" s="25" t="s">
        <v>89</v>
      </c>
      <c r="AK176" s="32">
        <f t="shared" si="18"/>
        <v>49.56</v>
      </c>
      <c r="AL176" s="32">
        <f t="shared" si="19"/>
        <v>59.47</v>
      </c>
      <c r="AM176" s="32">
        <f t="shared" si="20"/>
        <v>867.32999999999993</v>
      </c>
      <c r="AN176" s="32">
        <f t="shared" si="21"/>
        <v>1015.5600000000001</v>
      </c>
      <c r="AO176" s="34">
        <f t="shared" si="22"/>
        <v>0.83336135866823613</v>
      </c>
      <c r="AP176" s="34">
        <f t="shared" si="23"/>
        <v>0.85404112017015232</v>
      </c>
      <c r="AQ176" s="33">
        <f t="shared" si="24"/>
        <v>971.41000000000008</v>
      </c>
      <c r="AR176" s="37">
        <f t="shared" si="25"/>
        <v>109.03</v>
      </c>
      <c r="AS176" s="37">
        <f t="shared" si="26"/>
        <v>1882.8899999999999</v>
      </c>
    </row>
    <row r="177" spans="1:45" x14ac:dyDescent="0.25">
      <c r="A177" s="26" t="s">
        <v>440</v>
      </c>
      <c r="B177" t="s">
        <v>441</v>
      </c>
      <c r="C177" s="25">
        <v>0</v>
      </c>
      <c r="D177" s="25">
        <v>0</v>
      </c>
      <c r="E177" s="25">
        <v>5</v>
      </c>
      <c r="F177" s="25">
        <v>0</v>
      </c>
      <c r="G177" s="25">
        <v>0</v>
      </c>
      <c r="H177" s="25">
        <v>0</v>
      </c>
      <c r="I177" s="25">
        <v>40</v>
      </c>
      <c r="J177" s="25">
        <v>25</v>
      </c>
      <c r="K177" s="25">
        <v>5</v>
      </c>
      <c r="L177" s="25">
        <v>0</v>
      </c>
      <c r="M177" s="25">
        <v>35</v>
      </c>
      <c r="N177" s="25">
        <v>15</v>
      </c>
      <c r="O177" s="25">
        <v>10</v>
      </c>
      <c r="P177" s="25">
        <v>5</v>
      </c>
      <c r="Q177" s="25">
        <v>40</v>
      </c>
      <c r="R177" s="25">
        <v>75</v>
      </c>
      <c r="S177" s="25">
        <v>0</v>
      </c>
      <c r="T177" s="25">
        <v>0</v>
      </c>
      <c r="U177" s="25">
        <v>30</v>
      </c>
      <c r="V177" s="25">
        <v>75</v>
      </c>
      <c r="W177" s="25">
        <v>5</v>
      </c>
      <c r="X177" s="25">
        <v>0</v>
      </c>
      <c r="Y177" s="25">
        <v>55</v>
      </c>
      <c r="Z177" s="25">
        <v>15</v>
      </c>
      <c r="AA177" s="25">
        <v>5</v>
      </c>
      <c r="AB177" s="25">
        <v>5</v>
      </c>
      <c r="AC177" s="25">
        <v>70</v>
      </c>
      <c r="AD177" s="25">
        <v>105</v>
      </c>
      <c r="AE177" s="25">
        <v>5</v>
      </c>
      <c r="AF177" s="25">
        <v>5</v>
      </c>
      <c r="AG177" s="25">
        <v>165</v>
      </c>
      <c r="AH177" s="25">
        <v>160</v>
      </c>
      <c r="AI177" s="25" t="s">
        <v>94</v>
      </c>
      <c r="AJ177" s="25" t="s">
        <v>89</v>
      </c>
      <c r="AK177" s="32">
        <f t="shared" si="18"/>
        <v>30</v>
      </c>
      <c r="AL177" s="32">
        <f t="shared" si="19"/>
        <v>15</v>
      </c>
      <c r="AM177" s="32">
        <f t="shared" si="20"/>
        <v>440</v>
      </c>
      <c r="AN177" s="32">
        <f t="shared" si="21"/>
        <v>470</v>
      </c>
      <c r="AO177" s="34">
        <f t="shared" si="22"/>
        <v>2</v>
      </c>
      <c r="AP177" s="34">
        <f t="shared" si="23"/>
        <v>0.93617021276595747</v>
      </c>
      <c r="AQ177" s="33">
        <f t="shared" si="24"/>
        <v>435</v>
      </c>
      <c r="AR177" s="37">
        <f t="shared" si="25"/>
        <v>45</v>
      </c>
      <c r="AS177" s="37">
        <f t="shared" si="26"/>
        <v>910</v>
      </c>
    </row>
    <row r="178" spans="1:45" x14ac:dyDescent="0.25">
      <c r="A178" s="26" t="s">
        <v>442</v>
      </c>
      <c r="B178" t="s">
        <v>443</v>
      </c>
      <c r="C178" s="25">
        <v>0</v>
      </c>
      <c r="D178" s="25">
        <v>0</v>
      </c>
      <c r="E178" s="25">
        <v>0</v>
      </c>
      <c r="F178" s="25">
        <v>0</v>
      </c>
      <c r="G178" s="25">
        <v>58.43</v>
      </c>
      <c r="H178" s="25">
        <v>28.37</v>
      </c>
      <c r="I178" s="25">
        <v>282.22000000000003</v>
      </c>
      <c r="J178" s="25">
        <v>116.65</v>
      </c>
      <c r="K178" s="25">
        <v>133.38999999999999</v>
      </c>
      <c r="L178" s="25">
        <v>111.99</v>
      </c>
      <c r="M178" s="25">
        <v>1618.69</v>
      </c>
      <c r="N178" s="25">
        <v>1233.8499999999999</v>
      </c>
      <c r="O178" s="25">
        <v>70.959999999999994</v>
      </c>
      <c r="P178" s="25">
        <v>81.599999999999994</v>
      </c>
      <c r="Q178" s="25">
        <v>515.74</v>
      </c>
      <c r="R178" s="25">
        <v>882.05</v>
      </c>
      <c r="S178" s="25">
        <v>45.19</v>
      </c>
      <c r="T178" s="25">
        <v>208.14</v>
      </c>
      <c r="U178" s="25">
        <v>273.02999999999997</v>
      </c>
      <c r="V178" s="25">
        <v>695.37</v>
      </c>
      <c r="W178" s="25">
        <v>82.21</v>
      </c>
      <c r="X178" s="25">
        <v>21.93</v>
      </c>
      <c r="Y178" s="25">
        <v>254.43</v>
      </c>
      <c r="Z178" s="25">
        <v>45.94</v>
      </c>
      <c r="AA178" s="25">
        <v>142.25</v>
      </c>
      <c r="AB178" s="25">
        <v>173.62</v>
      </c>
      <c r="AC178" s="25">
        <v>1484.74</v>
      </c>
      <c r="AD178" s="25">
        <v>1923.16</v>
      </c>
      <c r="AE178" s="25">
        <v>92.44</v>
      </c>
      <c r="AF178" s="25">
        <v>202.49</v>
      </c>
      <c r="AG178" s="25">
        <v>2151.64</v>
      </c>
      <c r="AH178" s="25">
        <v>2310.48</v>
      </c>
      <c r="AI178" s="25" t="s">
        <v>88</v>
      </c>
      <c r="AJ178" s="25" t="s">
        <v>89</v>
      </c>
      <c r="AK178" s="32">
        <f t="shared" si="18"/>
        <v>624.86999999999989</v>
      </c>
      <c r="AL178" s="32">
        <f t="shared" si="19"/>
        <v>828.14</v>
      </c>
      <c r="AM178" s="32">
        <f t="shared" si="20"/>
        <v>6580.49</v>
      </c>
      <c r="AN178" s="32">
        <f t="shared" si="21"/>
        <v>7207.5</v>
      </c>
      <c r="AO178" s="34">
        <f t="shared" si="22"/>
        <v>0.75454633274567096</v>
      </c>
      <c r="AP178" s="34">
        <f t="shared" si="23"/>
        <v>0.91300589663544918</v>
      </c>
      <c r="AQ178" s="33">
        <f t="shared" si="24"/>
        <v>6760.18</v>
      </c>
      <c r="AR178" s="37">
        <f t="shared" si="25"/>
        <v>1453.0099999999998</v>
      </c>
      <c r="AS178" s="37">
        <f t="shared" si="26"/>
        <v>13787.99</v>
      </c>
    </row>
    <row r="179" spans="1:45" x14ac:dyDescent="0.25">
      <c r="A179" s="26" t="s">
        <v>444</v>
      </c>
      <c r="B179" t="s">
        <v>445</v>
      </c>
      <c r="C179" s="25">
        <v>0</v>
      </c>
      <c r="D179" s="25">
        <v>0</v>
      </c>
      <c r="E179" s="25">
        <v>25.03</v>
      </c>
      <c r="F179" s="25">
        <v>5.01</v>
      </c>
      <c r="G179" s="25">
        <v>25.03</v>
      </c>
      <c r="H179" s="25">
        <v>0</v>
      </c>
      <c r="I179" s="25">
        <v>25.03</v>
      </c>
      <c r="J179" s="25">
        <v>0</v>
      </c>
      <c r="K179" s="25">
        <v>5.01</v>
      </c>
      <c r="L179" s="25">
        <v>15.02</v>
      </c>
      <c r="M179" s="25">
        <v>170.2</v>
      </c>
      <c r="N179" s="25">
        <v>93.44</v>
      </c>
      <c r="O179" s="25">
        <v>5.01</v>
      </c>
      <c r="P179" s="25">
        <v>0</v>
      </c>
      <c r="Q179" s="25">
        <v>120.14</v>
      </c>
      <c r="R179" s="25">
        <v>263.61</v>
      </c>
      <c r="S179" s="25">
        <v>0</v>
      </c>
      <c r="T179" s="25">
        <v>10.01</v>
      </c>
      <c r="U179" s="25">
        <v>96.76</v>
      </c>
      <c r="V179" s="25">
        <v>240.28</v>
      </c>
      <c r="W179" s="25">
        <v>25.03</v>
      </c>
      <c r="X179" s="25">
        <v>5.01</v>
      </c>
      <c r="Y179" s="25">
        <v>130.15</v>
      </c>
      <c r="Z179" s="25">
        <v>15.02</v>
      </c>
      <c r="AA179" s="25">
        <v>25.03</v>
      </c>
      <c r="AB179" s="25">
        <v>15.02</v>
      </c>
      <c r="AC179" s="25">
        <v>140.16</v>
      </c>
      <c r="AD179" s="25">
        <v>185.22</v>
      </c>
      <c r="AE179" s="25">
        <v>0</v>
      </c>
      <c r="AF179" s="25">
        <v>25.03</v>
      </c>
      <c r="AG179" s="25">
        <v>355.42</v>
      </c>
      <c r="AH179" s="25">
        <v>310.36</v>
      </c>
      <c r="AI179" s="25" t="s">
        <v>94</v>
      </c>
      <c r="AJ179" s="25" t="s">
        <v>89</v>
      </c>
      <c r="AK179" s="32">
        <f t="shared" si="18"/>
        <v>85.11</v>
      </c>
      <c r="AL179" s="32">
        <f t="shared" si="19"/>
        <v>70.09</v>
      </c>
      <c r="AM179" s="32">
        <f t="shared" si="20"/>
        <v>1062.8899999999999</v>
      </c>
      <c r="AN179" s="32">
        <f t="shared" si="21"/>
        <v>1112.94</v>
      </c>
      <c r="AO179" s="34">
        <f t="shared" si="22"/>
        <v>1.2142959052646596</v>
      </c>
      <c r="AP179" s="34">
        <f t="shared" si="23"/>
        <v>0.95502902222941022</v>
      </c>
      <c r="AQ179" s="33">
        <f t="shared" si="24"/>
        <v>1274.79</v>
      </c>
      <c r="AR179" s="37">
        <f t="shared" si="25"/>
        <v>155.19999999999999</v>
      </c>
      <c r="AS179" s="37">
        <f t="shared" si="26"/>
        <v>2175.83</v>
      </c>
    </row>
    <row r="180" spans="1:45" x14ac:dyDescent="0.25">
      <c r="A180" s="26" t="s">
        <v>446</v>
      </c>
      <c r="B180" t="s">
        <v>447</v>
      </c>
      <c r="C180" s="25">
        <v>0</v>
      </c>
      <c r="D180" s="25">
        <v>0</v>
      </c>
      <c r="E180" s="25">
        <v>0</v>
      </c>
      <c r="F180" s="25">
        <v>0</v>
      </c>
      <c r="G180" s="25">
        <v>0</v>
      </c>
      <c r="H180" s="25">
        <v>0</v>
      </c>
      <c r="I180" s="25">
        <v>70.27</v>
      </c>
      <c r="J180" s="25">
        <v>15.05</v>
      </c>
      <c r="K180" s="25">
        <v>5.03</v>
      </c>
      <c r="L180" s="25">
        <v>15.08</v>
      </c>
      <c r="M180" s="25">
        <v>180.68</v>
      </c>
      <c r="N180" s="25">
        <v>105.41</v>
      </c>
      <c r="O180" s="25">
        <v>30.11</v>
      </c>
      <c r="P180" s="25">
        <v>10.02</v>
      </c>
      <c r="Q180" s="25">
        <v>155.69</v>
      </c>
      <c r="R180" s="25">
        <v>225.96</v>
      </c>
      <c r="S180" s="25">
        <v>5.01</v>
      </c>
      <c r="T180" s="25">
        <v>20.07</v>
      </c>
      <c r="U180" s="25">
        <v>90.33</v>
      </c>
      <c r="V180" s="25">
        <v>296.14999999999998</v>
      </c>
      <c r="W180" s="25">
        <v>45.16</v>
      </c>
      <c r="X180" s="25">
        <v>5.0199999999999996</v>
      </c>
      <c r="Y180" s="25">
        <v>215.98</v>
      </c>
      <c r="Z180" s="25">
        <v>40.18</v>
      </c>
      <c r="AA180" s="25">
        <v>5.03</v>
      </c>
      <c r="AB180" s="25">
        <v>5.03</v>
      </c>
      <c r="AC180" s="25">
        <v>155.82</v>
      </c>
      <c r="AD180" s="25">
        <v>196.08</v>
      </c>
      <c r="AE180" s="25">
        <v>20.05</v>
      </c>
      <c r="AF180" s="25">
        <v>30.1</v>
      </c>
      <c r="AG180" s="25">
        <v>426.35</v>
      </c>
      <c r="AH180" s="25">
        <v>436.37</v>
      </c>
      <c r="AI180" s="25" t="s">
        <v>94</v>
      </c>
      <c r="AJ180" s="25" t="s">
        <v>89</v>
      </c>
      <c r="AK180" s="32">
        <f t="shared" si="18"/>
        <v>110.39</v>
      </c>
      <c r="AL180" s="32">
        <f t="shared" si="19"/>
        <v>85.32</v>
      </c>
      <c r="AM180" s="32">
        <f t="shared" si="20"/>
        <v>1295.1199999999999</v>
      </c>
      <c r="AN180" s="32">
        <f t="shared" si="21"/>
        <v>1315.1999999999998</v>
      </c>
      <c r="AO180" s="34">
        <f t="shared" si="22"/>
        <v>1.2938349742147213</v>
      </c>
      <c r="AP180" s="34">
        <f t="shared" si="23"/>
        <v>0.98473236009732368</v>
      </c>
      <c r="AQ180" s="33">
        <f t="shared" si="24"/>
        <v>1531.2000000000003</v>
      </c>
      <c r="AR180" s="37">
        <f t="shared" si="25"/>
        <v>195.70999999999998</v>
      </c>
      <c r="AS180" s="37">
        <f t="shared" si="26"/>
        <v>2610.3199999999997</v>
      </c>
    </row>
    <row r="181" spans="1:45" x14ac:dyDescent="0.25">
      <c r="A181" s="26" t="s">
        <v>448</v>
      </c>
      <c r="B181" t="s">
        <v>449</v>
      </c>
      <c r="C181" s="25">
        <v>0</v>
      </c>
      <c r="D181" s="25">
        <v>0</v>
      </c>
      <c r="E181" s="25">
        <v>15.03</v>
      </c>
      <c r="F181" s="25">
        <v>5.01</v>
      </c>
      <c r="G181" s="25">
        <v>0</v>
      </c>
      <c r="H181" s="25">
        <v>0</v>
      </c>
      <c r="I181" s="25">
        <v>30.05</v>
      </c>
      <c r="J181" s="25">
        <v>5.01</v>
      </c>
      <c r="K181" s="25">
        <v>0</v>
      </c>
      <c r="L181" s="25">
        <v>0</v>
      </c>
      <c r="M181" s="25">
        <v>30.05</v>
      </c>
      <c r="N181" s="25">
        <v>20.03</v>
      </c>
      <c r="O181" s="25">
        <v>5.01</v>
      </c>
      <c r="P181" s="25">
        <v>5.01</v>
      </c>
      <c r="Q181" s="25">
        <v>30.05</v>
      </c>
      <c r="R181" s="25">
        <v>40.07</v>
      </c>
      <c r="S181" s="25">
        <v>0</v>
      </c>
      <c r="T181" s="25">
        <v>0</v>
      </c>
      <c r="U181" s="25">
        <v>25.04</v>
      </c>
      <c r="V181" s="25">
        <v>70.12</v>
      </c>
      <c r="W181" s="25">
        <v>0</v>
      </c>
      <c r="X181" s="25">
        <v>0</v>
      </c>
      <c r="Y181" s="25">
        <v>40.07</v>
      </c>
      <c r="Z181" s="25">
        <v>0</v>
      </c>
      <c r="AA181" s="25">
        <v>0</v>
      </c>
      <c r="AB181" s="25">
        <v>10.02</v>
      </c>
      <c r="AC181" s="25">
        <v>70.12</v>
      </c>
      <c r="AD181" s="25">
        <v>65.11</v>
      </c>
      <c r="AE181" s="25">
        <v>0</v>
      </c>
      <c r="AF181" s="25">
        <v>0</v>
      </c>
      <c r="AG181" s="25">
        <v>55.09</v>
      </c>
      <c r="AH181" s="25">
        <v>75.13</v>
      </c>
      <c r="AI181" s="25" t="s">
        <v>94</v>
      </c>
      <c r="AJ181" s="25" t="s">
        <v>89</v>
      </c>
      <c r="AK181" s="32">
        <f t="shared" si="18"/>
        <v>5.01</v>
      </c>
      <c r="AL181" s="32">
        <f t="shared" si="19"/>
        <v>15.03</v>
      </c>
      <c r="AM181" s="32">
        <f t="shared" si="20"/>
        <v>295.5</v>
      </c>
      <c r="AN181" s="32">
        <f t="shared" si="21"/>
        <v>280.48</v>
      </c>
      <c r="AO181" s="34">
        <f t="shared" si="22"/>
        <v>0.33333333333333331</v>
      </c>
      <c r="AP181" s="34">
        <f t="shared" si="23"/>
        <v>1.0535510553337135</v>
      </c>
      <c r="AQ181" s="33">
        <f t="shared" si="24"/>
        <v>320.55</v>
      </c>
      <c r="AR181" s="37">
        <f t="shared" si="25"/>
        <v>20.04</v>
      </c>
      <c r="AS181" s="37">
        <f t="shared" si="26"/>
        <v>575.98</v>
      </c>
    </row>
    <row r="182" spans="1:45" x14ac:dyDescent="0.25">
      <c r="A182" s="26" t="s">
        <v>450</v>
      </c>
      <c r="B182" t="s">
        <v>451</v>
      </c>
      <c r="C182" s="25">
        <v>0</v>
      </c>
      <c r="D182" s="25">
        <v>0</v>
      </c>
      <c r="E182" s="25">
        <v>1</v>
      </c>
      <c r="F182" s="25">
        <v>0</v>
      </c>
      <c r="G182" s="25">
        <v>220.63</v>
      </c>
      <c r="H182" s="25">
        <v>32.22</v>
      </c>
      <c r="I182" s="25">
        <v>225.04</v>
      </c>
      <c r="J182" s="25">
        <v>59.15</v>
      </c>
      <c r="K182" s="25">
        <v>246.32</v>
      </c>
      <c r="L182" s="25">
        <v>175.08</v>
      </c>
      <c r="M182" s="25">
        <v>844.07</v>
      </c>
      <c r="N182" s="25">
        <v>657.83</v>
      </c>
      <c r="O182" s="25">
        <v>433.6</v>
      </c>
      <c r="P182" s="25">
        <v>324.77999999999997</v>
      </c>
      <c r="Q182" s="25">
        <v>1278.46</v>
      </c>
      <c r="R182" s="25">
        <v>1704</v>
      </c>
      <c r="S182" s="25">
        <v>411.19</v>
      </c>
      <c r="T182" s="25">
        <v>1292.78</v>
      </c>
      <c r="U182" s="25">
        <v>1078.3900000000001</v>
      </c>
      <c r="V182" s="25">
        <v>2609.83</v>
      </c>
      <c r="W182" s="25">
        <v>1138.58</v>
      </c>
      <c r="X182" s="25">
        <v>333.3</v>
      </c>
      <c r="Y182" s="25">
        <v>1624.86</v>
      </c>
      <c r="Z182" s="25">
        <v>245.06</v>
      </c>
      <c r="AA182" s="25">
        <v>531.29999999999995</v>
      </c>
      <c r="AB182" s="25">
        <v>440.8</v>
      </c>
      <c r="AC182" s="25">
        <v>1569.04</v>
      </c>
      <c r="AD182" s="25">
        <v>2075.2800000000002</v>
      </c>
      <c r="AE182" s="25">
        <v>494</v>
      </c>
      <c r="AF182" s="25">
        <v>1230.29</v>
      </c>
      <c r="AG182" s="25">
        <v>5063.47</v>
      </c>
      <c r="AH182" s="25">
        <v>5234.66</v>
      </c>
      <c r="AI182" s="25" t="s">
        <v>88</v>
      </c>
      <c r="AJ182" s="25" t="s">
        <v>89</v>
      </c>
      <c r="AK182" s="32">
        <f t="shared" si="18"/>
        <v>3475.62</v>
      </c>
      <c r="AL182" s="32">
        <f t="shared" si="19"/>
        <v>3829.25</v>
      </c>
      <c r="AM182" s="32">
        <f t="shared" si="20"/>
        <v>11684.33</v>
      </c>
      <c r="AN182" s="32">
        <f t="shared" si="21"/>
        <v>12585.81</v>
      </c>
      <c r="AO182" s="34">
        <f t="shared" si="22"/>
        <v>0.90765032317033356</v>
      </c>
      <c r="AP182" s="34">
        <f t="shared" si="23"/>
        <v>0.9283733029499095</v>
      </c>
      <c r="AQ182" s="33">
        <f t="shared" si="24"/>
        <v>14936.169999999998</v>
      </c>
      <c r="AR182" s="37">
        <f t="shared" si="25"/>
        <v>7304.87</v>
      </c>
      <c r="AS182" s="37">
        <f t="shared" si="26"/>
        <v>24270.14</v>
      </c>
    </row>
    <row r="183" spans="1:45" x14ac:dyDescent="0.25">
      <c r="A183" s="26" t="s">
        <v>452</v>
      </c>
      <c r="B183" t="s">
        <v>453</v>
      </c>
      <c r="C183" s="25">
        <v>0</v>
      </c>
      <c r="D183" s="25">
        <v>0</v>
      </c>
      <c r="E183" s="25">
        <v>0</v>
      </c>
      <c r="F183" s="25">
        <v>0</v>
      </c>
      <c r="G183" s="25">
        <v>29.71</v>
      </c>
      <c r="H183" s="25">
        <v>9.9</v>
      </c>
      <c r="I183" s="25">
        <v>69.31</v>
      </c>
      <c r="J183" s="25">
        <v>19.8</v>
      </c>
      <c r="K183" s="25">
        <v>19.8</v>
      </c>
      <c r="L183" s="25">
        <v>4.95</v>
      </c>
      <c r="M183" s="25">
        <v>153.47999999999999</v>
      </c>
      <c r="N183" s="25">
        <v>168.33</v>
      </c>
      <c r="O183" s="25">
        <v>54.46</v>
      </c>
      <c r="P183" s="25">
        <v>34.659999999999997</v>
      </c>
      <c r="Q183" s="25">
        <v>302.01</v>
      </c>
      <c r="R183" s="25">
        <v>356.47</v>
      </c>
      <c r="S183" s="25">
        <v>34.659999999999997</v>
      </c>
      <c r="T183" s="25">
        <v>113.87</v>
      </c>
      <c r="U183" s="25">
        <v>232.7</v>
      </c>
      <c r="V183" s="25">
        <v>495.1</v>
      </c>
      <c r="W183" s="25">
        <v>168.33</v>
      </c>
      <c r="X183" s="25">
        <v>49.51</v>
      </c>
      <c r="Y183" s="25">
        <v>227.74</v>
      </c>
      <c r="Z183" s="25">
        <v>64.36</v>
      </c>
      <c r="AA183" s="25">
        <v>74.260000000000005</v>
      </c>
      <c r="AB183" s="25">
        <v>54.46</v>
      </c>
      <c r="AC183" s="25">
        <v>316.86</v>
      </c>
      <c r="AD183" s="25">
        <v>351.57</v>
      </c>
      <c r="AE183" s="25">
        <v>74.260000000000005</v>
      </c>
      <c r="AF183" s="25">
        <v>103.97</v>
      </c>
      <c r="AG183" s="25">
        <v>901.52</v>
      </c>
      <c r="AH183" s="25">
        <v>906.32</v>
      </c>
      <c r="AI183" s="25" t="s">
        <v>88</v>
      </c>
      <c r="AJ183" s="25" t="s">
        <v>89</v>
      </c>
      <c r="AK183" s="32">
        <f t="shared" si="18"/>
        <v>455.48</v>
      </c>
      <c r="AL183" s="32">
        <f t="shared" si="19"/>
        <v>371.31999999999994</v>
      </c>
      <c r="AM183" s="32">
        <f t="shared" si="20"/>
        <v>2203.62</v>
      </c>
      <c r="AN183" s="32">
        <f t="shared" si="21"/>
        <v>2361.9499999999998</v>
      </c>
      <c r="AO183" s="34">
        <f t="shared" si="22"/>
        <v>1.2266508671765595</v>
      </c>
      <c r="AP183" s="34">
        <f t="shared" si="23"/>
        <v>0.93296640487732596</v>
      </c>
      <c r="AQ183" s="33">
        <f t="shared" si="24"/>
        <v>2609.150000000001</v>
      </c>
      <c r="AR183" s="37">
        <f t="shared" si="25"/>
        <v>826.8</v>
      </c>
      <c r="AS183" s="37">
        <f t="shared" si="26"/>
        <v>4565.57</v>
      </c>
    </row>
    <row r="184" spans="1:45" x14ac:dyDescent="0.25">
      <c r="A184" s="26" t="s">
        <v>454</v>
      </c>
      <c r="B184" t="s">
        <v>455</v>
      </c>
      <c r="C184" s="25">
        <v>0</v>
      </c>
      <c r="D184" s="25">
        <v>0</v>
      </c>
      <c r="E184" s="25">
        <v>0</v>
      </c>
      <c r="F184" s="25">
        <v>5</v>
      </c>
      <c r="G184" s="25">
        <v>35</v>
      </c>
      <c r="H184" s="25">
        <v>10</v>
      </c>
      <c r="I184" s="25">
        <v>175</v>
      </c>
      <c r="J184" s="25">
        <v>95</v>
      </c>
      <c r="K184" s="25">
        <v>110</v>
      </c>
      <c r="L184" s="25">
        <v>85</v>
      </c>
      <c r="M184" s="25">
        <v>885</v>
      </c>
      <c r="N184" s="25">
        <v>645</v>
      </c>
      <c r="O184" s="25">
        <v>65</v>
      </c>
      <c r="P184" s="25">
        <v>60</v>
      </c>
      <c r="Q184" s="25">
        <v>620</v>
      </c>
      <c r="R184" s="25">
        <v>865</v>
      </c>
      <c r="S184" s="25">
        <v>45</v>
      </c>
      <c r="T184" s="25">
        <v>115</v>
      </c>
      <c r="U184" s="25">
        <v>325</v>
      </c>
      <c r="V184" s="25">
        <v>685</v>
      </c>
      <c r="W184" s="25">
        <v>120</v>
      </c>
      <c r="X184" s="25">
        <v>60</v>
      </c>
      <c r="Y184" s="25">
        <v>260</v>
      </c>
      <c r="Z184" s="25">
        <v>60</v>
      </c>
      <c r="AA184" s="25">
        <v>85</v>
      </c>
      <c r="AB184" s="25">
        <v>105</v>
      </c>
      <c r="AC184" s="25">
        <v>785</v>
      </c>
      <c r="AD184" s="25">
        <v>1005</v>
      </c>
      <c r="AE184" s="25">
        <v>80</v>
      </c>
      <c r="AF184" s="25">
        <v>90</v>
      </c>
      <c r="AG184" s="25">
        <v>1450</v>
      </c>
      <c r="AH184" s="25">
        <v>1565</v>
      </c>
      <c r="AI184" s="25" t="s">
        <v>88</v>
      </c>
      <c r="AJ184" s="25" t="s">
        <v>89</v>
      </c>
      <c r="AK184" s="32">
        <f t="shared" si="18"/>
        <v>540</v>
      </c>
      <c r="AL184" s="32">
        <f t="shared" si="19"/>
        <v>525</v>
      </c>
      <c r="AM184" s="32">
        <f t="shared" si="20"/>
        <v>4500</v>
      </c>
      <c r="AN184" s="32">
        <f t="shared" si="21"/>
        <v>4925</v>
      </c>
      <c r="AO184" s="34">
        <f t="shared" si="22"/>
        <v>1.0285714285714285</v>
      </c>
      <c r="AP184" s="34">
        <f t="shared" si="23"/>
        <v>0.91370558375634514</v>
      </c>
      <c r="AQ184" s="33">
        <f t="shared" si="24"/>
        <v>5325</v>
      </c>
      <c r="AR184" s="37">
        <f t="shared" si="25"/>
        <v>1065</v>
      </c>
      <c r="AS184" s="37">
        <f t="shared" si="26"/>
        <v>9425</v>
      </c>
    </row>
    <row r="185" spans="1:45" x14ac:dyDescent="0.25">
      <c r="A185" s="26" t="s">
        <v>456</v>
      </c>
      <c r="B185" t="s">
        <v>457</v>
      </c>
      <c r="C185" s="25">
        <v>0</v>
      </c>
      <c r="D185" s="25">
        <v>0</v>
      </c>
      <c r="E185" s="25">
        <v>4.9000000000000004</v>
      </c>
      <c r="F185" s="25">
        <v>0</v>
      </c>
      <c r="G185" s="25">
        <v>0</v>
      </c>
      <c r="H185" s="25">
        <v>0</v>
      </c>
      <c r="I185" s="25">
        <v>20.03</v>
      </c>
      <c r="J185" s="25">
        <v>9.9700000000000006</v>
      </c>
      <c r="K185" s="25">
        <v>0</v>
      </c>
      <c r="L185" s="25">
        <v>4.9800000000000004</v>
      </c>
      <c r="M185" s="25">
        <v>39.799999999999997</v>
      </c>
      <c r="N185" s="25">
        <v>19.86</v>
      </c>
      <c r="O185" s="25">
        <v>4.82</v>
      </c>
      <c r="P185" s="25">
        <v>9.8000000000000007</v>
      </c>
      <c r="Q185" s="25">
        <v>39.71</v>
      </c>
      <c r="R185" s="25">
        <v>74.36</v>
      </c>
      <c r="S185" s="25">
        <v>0</v>
      </c>
      <c r="T185" s="25">
        <v>0</v>
      </c>
      <c r="U185" s="25">
        <v>14.87</v>
      </c>
      <c r="V185" s="25">
        <v>34.549999999999997</v>
      </c>
      <c r="W185" s="25">
        <v>4.9000000000000004</v>
      </c>
      <c r="X185" s="25">
        <v>0</v>
      </c>
      <c r="Y185" s="25">
        <v>44.44</v>
      </c>
      <c r="Z185" s="25">
        <v>9.9700000000000006</v>
      </c>
      <c r="AA185" s="25">
        <v>0</v>
      </c>
      <c r="AB185" s="25">
        <v>10.14</v>
      </c>
      <c r="AC185" s="25">
        <v>111.65</v>
      </c>
      <c r="AD185" s="25">
        <v>91.54</v>
      </c>
      <c r="AE185" s="25">
        <v>0</v>
      </c>
      <c r="AF185" s="25">
        <v>4.9800000000000004</v>
      </c>
      <c r="AG185" s="25">
        <v>102.4</v>
      </c>
      <c r="AH185" s="25">
        <v>83.65</v>
      </c>
      <c r="AI185" s="25" t="s">
        <v>94</v>
      </c>
      <c r="AJ185" s="25" t="s">
        <v>89</v>
      </c>
      <c r="AK185" s="32">
        <f t="shared" si="18"/>
        <v>9.7200000000000006</v>
      </c>
      <c r="AL185" s="32">
        <f t="shared" si="19"/>
        <v>29.900000000000002</v>
      </c>
      <c r="AM185" s="32">
        <f t="shared" si="20"/>
        <v>377.79999999999995</v>
      </c>
      <c r="AN185" s="32">
        <f t="shared" si="21"/>
        <v>323.89999999999998</v>
      </c>
      <c r="AO185" s="34">
        <f t="shared" si="22"/>
        <v>0.32508361204013375</v>
      </c>
      <c r="AP185" s="34">
        <f t="shared" si="23"/>
        <v>1.1664093856128435</v>
      </c>
      <c r="AQ185" s="33">
        <f t="shared" si="24"/>
        <v>336.96</v>
      </c>
      <c r="AR185" s="37">
        <f t="shared" si="25"/>
        <v>39.620000000000005</v>
      </c>
      <c r="AS185" s="37">
        <f t="shared" si="26"/>
        <v>701.69999999999993</v>
      </c>
    </row>
    <row r="186" spans="1:45" x14ac:dyDescent="0.25">
      <c r="A186" s="26" t="s">
        <v>458</v>
      </c>
      <c r="B186" t="s">
        <v>459</v>
      </c>
      <c r="C186" s="25">
        <v>0</v>
      </c>
      <c r="D186" s="25">
        <v>0</v>
      </c>
      <c r="E186" s="25">
        <v>5</v>
      </c>
      <c r="F186" s="25">
        <v>0</v>
      </c>
      <c r="G186" s="25">
        <v>41.8</v>
      </c>
      <c r="H186" s="25">
        <v>31.37</v>
      </c>
      <c r="I186" s="25">
        <v>125.27</v>
      </c>
      <c r="J186" s="25">
        <v>73</v>
      </c>
      <c r="K186" s="25">
        <v>41.63</v>
      </c>
      <c r="L186" s="25">
        <v>20.91</v>
      </c>
      <c r="M186" s="25">
        <v>470.38</v>
      </c>
      <c r="N186" s="25">
        <v>324.05</v>
      </c>
      <c r="O186" s="25">
        <v>67.69</v>
      </c>
      <c r="P186" s="25">
        <v>57.51</v>
      </c>
      <c r="Q186" s="25">
        <v>533.58000000000004</v>
      </c>
      <c r="R186" s="25">
        <v>693.74</v>
      </c>
      <c r="S186" s="25">
        <v>26.11</v>
      </c>
      <c r="T186" s="25">
        <v>119.99</v>
      </c>
      <c r="U186" s="25">
        <v>229.99</v>
      </c>
      <c r="V186" s="25">
        <v>543.71</v>
      </c>
      <c r="W186" s="25">
        <v>146.05000000000001</v>
      </c>
      <c r="X186" s="25">
        <v>31.26</v>
      </c>
      <c r="Y186" s="25">
        <v>474.59</v>
      </c>
      <c r="Z186" s="25">
        <v>88.6</v>
      </c>
      <c r="AA186" s="25">
        <v>78.72</v>
      </c>
      <c r="AB186" s="25">
        <v>57.78</v>
      </c>
      <c r="AC186" s="25">
        <v>413.29</v>
      </c>
      <c r="AD186" s="25">
        <v>486.45</v>
      </c>
      <c r="AE186" s="25">
        <v>20.77</v>
      </c>
      <c r="AF186" s="25">
        <v>62.32</v>
      </c>
      <c r="AG186" s="25">
        <v>1089.99</v>
      </c>
      <c r="AH186" s="25">
        <v>1417.7</v>
      </c>
      <c r="AI186" s="25" t="s">
        <v>88</v>
      </c>
      <c r="AJ186" s="25" t="s">
        <v>89</v>
      </c>
      <c r="AK186" s="32">
        <f t="shared" si="18"/>
        <v>422.77</v>
      </c>
      <c r="AL186" s="32">
        <f t="shared" si="19"/>
        <v>381.13999999999993</v>
      </c>
      <c r="AM186" s="32">
        <f t="shared" si="20"/>
        <v>3342.09</v>
      </c>
      <c r="AN186" s="32">
        <f t="shared" si="21"/>
        <v>3627.25</v>
      </c>
      <c r="AO186" s="34">
        <f t="shared" si="22"/>
        <v>1.109224956708821</v>
      </c>
      <c r="AP186" s="34">
        <f t="shared" si="23"/>
        <v>0.92138396857123173</v>
      </c>
      <c r="AQ186" s="33">
        <f t="shared" si="24"/>
        <v>4146.2300000000014</v>
      </c>
      <c r="AR186" s="37">
        <f t="shared" si="25"/>
        <v>803.90999999999985</v>
      </c>
      <c r="AS186" s="37">
        <f t="shared" si="26"/>
        <v>6969.34</v>
      </c>
    </row>
    <row r="187" spans="1:45" x14ac:dyDescent="0.25">
      <c r="A187" s="26" t="s">
        <v>460</v>
      </c>
      <c r="B187" t="s">
        <v>461</v>
      </c>
      <c r="C187" s="25">
        <v>0</v>
      </c>
      <c r="D187" s="25">
        <v>0</v>
      </c>
      <c r="E187" s="25">
        <v>0</v>
      </c>
      <c r="F187" s="25">
        <v>0</v>
      </c>
      <c r="G187" s="25">
        <v>15.85</v>
      </c>
      <c r="H187" s="25">
        <v>0</v>
      </c>
      <c r="I187" s="25">
        <v>94.18</v>
      </c>
      <c r="J187" s="25">
        <v>15.23</v>
      </c>
      <c r="K187" s="25">
        <v>20.3</v>
      </c>
      <c r="L187" s="25">
        <v>5.07</v>
      </c>
      <c r="M187" s="25">
        <v>119.06</v>
      </c>
      <c r="N187" s="25">
        <v>150.13999999999999</v>
      </c>
      <c r="O187" s="25">
        <v>15.85</v>
      </c>
      <c r="P187" s="25">
        <v>31.06</v>
      </c>
      <c r="Q187" s="25">
        <v>157.07</v>
      </c>
      <c r="R187" s="25">
        <v>225.63</v>
      </c>
      <c r="S187" s="25">
        <v>10.63</v>
      </c>
      <c r="T187" s="25">
        <v>31.86</v>
      </c>
      <c r="U187" s="25">
        <v>88.01</v>
      </c>
      <c r="V187" s="25">
        <v>181.5</v>
      </c>
      <c r="W187" s="25">
        <v>16.329999999999998</v>
      </c>
      <c r="X187" s="25">
        <v>16.010000000000002</v>
      </c>
      <c r="Y187" s="25">
        <v>119.55</v>
      </c>
      <c r="Z187" s="25">
        <v>32.020000000000003</v>
      </c>
      <c r="AA187" s="25">
        <v>5.39</v>
      </c>
      <c r="AB187" s="25">
        <v>16.670000000000002</v>
      </c>
      <c r="AC187" s="25">
        <v>122.87</v>
      </c>
      <c r="AD187" s="25">
        <v>118.6</v>
      </c>
      <c r="AE187" s="25">
        <v>0</v>
      </c>
      <c r="AF187" s="25">
        <v>15.85</v>
      </c>
      <c r="AG187" s="25">
        <v>353.77</v>
      </c>
      <c r="AH187" s="25">
        <v>391.66</v>
      </c>
      <c r="AI187" s="25" t="s">
        <v>88</v>
      </c>
      <c r="AJ187" s="25" t="s">
        <v>89</v>
      </c>
      <c r="AK187" s="32">
        <f t="shared" si="18"/>
        <v>84.350000000000009</v>
      </c>
      <c r="AL187" s="32">
        <f t="shared" si="19"/>
        <v>116.52</v>
      </c>
      <c r="AM187" s="32">
        <f t="shared" si="20"/>
        <v>1054.51</v>
      </c>
      <c r="AN187" s="32">
        <f t="shared" si="21"/>
        <v>1114.78</v>
      </c>
      <c r="AO187" s="34">
        <f t="shared" si="22"/>
        <v>0.72391005835908007</v>
      </c>
      <c r="AP187" s="34">
        <f t="shared" si="23"/>
        <v>0.94593552090995536</v>
      </c>
      <c r="AQ187" s="33">
        <f t="shared" si="24"/>
        <v>1345.35</v>
      </c>
      <c r="AR187" s="37">
        <f t="shared" si="25"/>
        <v>200.87</v>
      </c>
      <c r="AS187" s="37">
        <f t="shared" si="26"/>
        <v>2169.29</v>
      </c>
    </row>
    <row r="188" spans="1:45" x14ac:dyDescent="0.25">
      <c r="A188" s="26" t="s">
        <v>462</v>
      </c>
      <c r="B188" t="s">
        <v>463</v>
      </c>
      <c r="C188" s="25">
        <v>0</v>
      </c>
      <c r="D188" s="25">
        <v>0</v>
      </c>
      <c r="E188" s="25">
        <v>0</v>
      </c>
      <c r="F188" s="25">
        <v>0</v>
      </c>
      <c r="G188" s="25">
        <v>5</v>
      </c>
      <c r="H188" s="25">
        <v>0</v>
      </c>
      <c r="I188" s="25">
        <v>130</v>
      </c>
      <c r="J188" s="25">
        <v>45</v>
      </c>
      <c r="K188" s="25">
        <v>75</v>
      </c>
      <c r="L188" s="25">
        <v>45</v>
      </c>
      <c r="M188" s="25">
        <v>575</v>
      </c>
      <c r="N188" s="25">
        <v>460</v>
      </c>
      <c r="O188" s="25">
        <v>45</v>
      </c>
      <c r="P188" s="25">
        <v>55</v>
      </c>
      <c r="Q188" s="25">
        <v>435</v>
      </c>
      <c r="R188" s="25">
        <v>595</v>
      </c>
      <c r="S188" s="25">
        <v>35</v>
      </c>
      <c r="T188" s="25">
        <v>100</v>
      </c>
      <c r="U188" s="25">
        <v>240</v>
      </c>
      <c r="V188" s="25">
        <v>435</v>
      </c>
      <c r="W188" s="25">
        <v>50</v>
      </c>
      <c r="X188" s="25">
        <v>5</v>
      </c>
      <c r="Y188" s="25">
        <v>200</v>
      </c>
      <c r="Z188" s="25">
        <v>50</v>
      </c>
      <c r="AA188" s="25">
        <v>85</v>
      </c>
      <c r="AB188" s="25">
        <v>75</v>
      </c>
      <c r="AC188" s="25">
        <v>585</v>
      </c>
      <c r="AD188" s="25">
        <v>720</v>
      </c>
      <c r="AE188" s="25">
        <v>30</v>
      </c>
      <c r="AF188" s="25">
        <v>70</v>
      </c>
      <c r="AG188" s="25">
        <v>935</v>
      </c>
      <c r="AH188" s="25">
        <v>895</v>
      </c>
      <c r="AI188" s="25" t="s">
        <v>88</v>
      </c>
      <c r="AJ188" s="25" t="s">
        <v>89</v>
      </c>
      <c r="AK188" s="32">
        <f t="shared" si="18"/>
        <v>325</v>
      </c>
      <c r="AL188" s="32">
        <f t="shared" si="19"/>
        <v>350</v>
      </c>
      <c r="AM188" s="32">
        <f t="shared" si="20"/>
        <v>3100</v>
      </c>
      <c r="AN188" s="32">
        <f t="shared" si="21"/>
        <v>3200</v>
      </c>
      <c r="AO188" s="34">
        <f t="shared" si="22"/>
        <v>0.9285714285714286</v>
      </c>
      <c r="AP188" s="34">
        <f t="shared" si="23"/>
        <v>0.96875</v>
      </c>
      <c r="AQ188" s="33">
        <f t="shared" si="24"/>
        <v>3580</v>
      </c>
      <c r="AR188" s="37">
        <f t="shared" si="25"/>
        <v>675</v>
      </c>
      <c r="AS188" s="37">
        <f t="shared" si="26"/>
        <v>6300</v>
      </c>
    </row>
    <row r="189" spans="1:45" x14ac:dyDescent="0.25">
      <c r="A189" s="26" t="s">
        <v>464</v>
      </c>
      <c r="B189" t="s">
        <v>465</v>
      </c>
      <c r="C189" s="25">
        <v>0</v>
      </c>
      <c r="D189" s="25">
        <v>0</v>
      </c>
      <c r="E189" s="25">
        <v>0</v>
      </c>
      <c r="F189" s="25">
        <v>5.1100000000000003</v>
      </c>
      <c r="G189" s="25">
        <v>0</v>
      </c>
      <c r="H189" s="25">
        <v>0</v>
      </c>
      <c r="I189" s="25">
        <v>20.010000000000002</v>
      </c>
      <c r="J189" s="25">
        <v>5.1100000000000003</v>
      </c>
      <c r="K189" s="25">
        <v>0</v>
      </c>
      <c r="L189" s="25">
        <v>0</v>
      </c>
      <c r="M189" s="25">
        <v>20.260000000000002</v>
      </c>
      <c r="N189" s="25">
        <v>25.31</v>
      </c>
      <c r="O189" s="25">
        <v>5.1100000000000003</v>
      </c>
      <c r="P189" s="25">
        <v>9.92</v>
      </c>
      <c r="Q189" s="25">
        <v>55.17</v>
      </c>
      <c r="R189" s="25">
        <v>55.17</v>
      </c>
      <c r="S189" s="25">
        <v>4.99</v>
      </c>
      <c r="T189" s="25">
        <v>0</v>
      </c>
      <c r="U189" s="25">
        <v>25.12</v>
      </c>
      <c r="V189" s="25">
        <v>30.11</v>
      </c>
      <c r="W189" s="25">
        <v>0</v>
      </c>
      <c r="X189" s="25">
        <v>0</v>
      </c>
      <c r="Y189" s="25">
        <v>40.270000000000003</v>
      </c>
      <c r="Z189" s="25">
        <v>5.05</v>
      </c>
      <c r="AA189" s="25">
        <v>0</v>
      </c>
      <c r="AB189" s="25">
        <v>5.17</v>
      </c>
      <c r="AC189" s="25">
        <v>76.41</v>
      </c>
      <c r="AD189" s="25">
        <v>76.650000000000006</v>
      </c>
      <c r="AE189" s="25">
        <v>0</v>
      </c>
      <c r="AF189" s="25">
        <v>0</v>
      </c>
      <c r="AG189" s="25">
        <v>84.68</v>
      </c>
      <c r="AH189" s="25">
        <v>64.540000000000006</v>
      </c>
      <c r="AI189" s="25" t="s">
        <v>94</v>
      </c>
      <c r="AJ189" s="25" t="s">
        <v>89</v>
      </c>
      <c r="AK189" s="32">
        <f t="shared" si="18"/>
        <v>10.100000000000001</v>
      </c>
      <c r="AL189" s="32">
        <f t="shared" si="19"/>
        <v>15.09</v>
      </c>
      <c r="AM189" s="32">
        <f t="shared" si="20"/>
        <v>321.92</v>
      </c>
      <c r="AN189" s="32">
        <f t="shared" si="21"/>
        <v>267.05</v>
      </c>
      <c r="AO189" s="34">
        <f t="shared" si="22"/>
        <v>0.66931742876076883</v>
      </c>
      <c r="AP189" s="34">
        <f t="shared" si="23"/>
        <v>1.2054671409848343</v>
      </c>
      <c r="AQ189" s="33">
        <f t="shared" si="24"/>
        <v>306.71000000000004</v>
      </c>
      <c r="AR189" s="37">
        <f t="shared" si="25"/>
        <v>25.19</v>
      </c>
      <c r="AS189" s="37">
        <f t="shared" si="26"/>
        <v>588.97</v>
      </c>
    </row>
    <row r="190" spans="1:45" x14ac:dyDescent="0.25">
      <c r="A190" s="26" t="s">
        <v>466</v>
      </c>
      <c r="B190" t="s">
        <v>467</v>
      </c>
      <c r="C190" s="25">
        <v>0</v>
      </c>
      <c r="D190" s="25">
        <v>0</v>
      </c>
      <c r="E190" s="25">
        <v>0</v>
      </c>
      <c r="F190" s="25">
        <v>0</v>
      </c>
      <c r="G190" s="25">
        <v>0</v>
      </c>
      <c r="H190" s="25">
        <v>0</v>
      </c>
      <c r="I190" s="25">
        <v>29.84</v>
      </c>
      <c r="J190" s="25">
        <v>4.82</v>
      </c>
      <c r="K190" s="25">
        <v>9.99</v>
      </c>
      <c r="L190" s="25">
        <v>5.03</v>
      </c>
      <c r="M190" s="25">
        <v>138.91999999999999</v>
      </c>
      <c r="N190" s="25">
        <v>104.41</v>
      </c>
      <c r="O190" s="25">
        <v>9.7799999999999994</v>
      </c>
      <c r="P190" s="25">
        <v>0</v>
      </c>
      <c r="Q190" s="25">
        <v>104.41</v>
      </c>
      <c r="R190" s="25">
        <v>104.05</v>
      </c>
      <c r="S190" s="25">
        <v>0</v>
      </c>
      <c r="T190" s="25">
        <v>4.8899999999999997</v>
      </c>
      <c r="U190" s="25">
        <v>29.77</v>
      </c>
      <c r="V190" s="25">
        <v>58.82</v>
      </c>
      <c r="W190" s="25">
        <v>5.03</v>
      </c>
      <c r="X190" s="25">
        <v>4.96</v>
      </c>
      <c r="Y190" s="25">
        <v>34.159999999999997</v>
      </c>
      <c r="Z190" s="25">
        <v>0</v>
      </c>
      <c r="AA190" s="25">
        <v>15.03</v>
      </c>
      <c r="AB190" s="25">
        <v>5.03</v>
      </c>
      <c r="AC190" s="25">
        <v>95.35</v>
      </c>
      <c r="AD190" s="25">
        <v>90.68</v>
      </c>
      <c r="AE190" s="25">
        <v>0</v>
      </c>
      <c r="AF190" s="25">
        <v>0</v>
      </c>
      <c r="AG190" s="25">
        <v>166.6</v>
      </c>
      <c r="AH190" s="25">
        <v>201.75</v>
      </c>
      <c r="AI190" s="25" t="s">
        <v>88</v>
      </c>
      <c r="AJ190" s="25" t="s">
        <v>89</v>
      </c>
      <c r="AK190" s="32">
        <f t="shared" si="18"/>
        <v>39.83</v>
      </c>
      <c r="AL190" s="32">
        <f t="shared" si="19"/>
        <v>19.91</v>
      </c>
      <c r="AM190" s="32">
        <f t="shared" si="20"/>
        <v>599.04999999999995</v>
      </c>
      <c r="AN190" s="32">
        <f t="shared" si="21"/>
        <v>564.53</v>
      </c>
      <c r="AO190" s="34">
        <f t="shared" si="22"/>
        <v>2.0005022601707685</v>
      </c>
      <c r="AP190" s="34">
        <f t="shared" si="23"/>
        <v>1.0611482117867961</v>
      </c>
      <c r="AQ190" s="33">
        <f t="shared" si="24"/>
        <v>648.88</v>
      </c>
      <c r="AR190" s="37">
        <f t="shared" si="25"/>
        <v>59.739999999999995</v>
      </c>
      <c r="AS190" s="37">
        <f t="shared" si="26"/>
        <v>1163.58</v>
      </c>
    </row>
    <row r="191" spans="1:45" x14ac:dyDescent="0.25">
      <c r="A191" s="26" t="s">
        <v>468</v>
      </c>
      <c r="B191" t="s">
        <v>469</v>
      </c>
      <c r="C191" s="25">
        <v>0</v>
      </c>
      <c r="D191" s="25">
        <v>0</v>
      </c>
      <c r="E191" s="25">
        <v>0</v>
      </c>
      <c r="F191" s="25">
        <v>0</v>
      </c>
      <c r="G191" s="25">
        <v>19.98</v>
      </c>
      <c r="H191" s="25">
        <v>9.98</v>
      </c>
      <c r="I191" s="25">
        <v>79.92</v>
      </c>
      <c r="J191" s="25">
        <v>10</v>
      </c>
      <c r="K191" s="25">
        <v>0</v>
      </c>
      <c r="L191" s="25">
        <v>4.99</v>
      </c>
      <c r="M191" s="25">
        <v>299.55</v>
      </c>
      <c r="N191" s="25">
        <v>174.75</v>
      </c>
      <c r="O191" s="25">
        <v>29.95</v>
      </c>
      <c r="P191" s="25">
        <v>25</v>
      </c>
      <c r="Q191" s="25">
        <v>274.81</v>
      </c>
      <c r="R191" s="25">
        <v>439.65</v>
      </c>
      <c r="S191" s="25">
        <v>19.95</v>
      </c>
      <c r="T191" s="25">
        <v>54.79</v>
      </c>
      <c r="U191" s="25">
        <v>154.80000000000001</v>
      </c>
      <c r="V191" s="25">
        <v>379.65</v>
      </c>
      <c r="W191" s="25">
        <v>34.99</v>
      </c>
      <c r="X191" s="25">
        <v>9.9700000000000006</v>
      </c>
      <c r="Y191" s="25">
        <v>224.48</v>
      </c>
      <c r="Z191" s="25">
        <v>9.98</v>
      </c>
      <c r="AA191" s="25">
        <v>20.010000000000002</v>
      </c>
      <c r="AB191" s="25">
        <v>5.0199999999999996</v>
      </c>
      <c r="AC191" s="25">
        <v>315.3</v>
      </c>
      <c r="AD191" s="25">
        <v>450.83</v>
      </c>
      <c r="AE191" s="25">
        <v>44.91</v>
      </c>
      <c r="AF191" s="25">
        <v>39.909999999999997</v>
      </c>
      <c r="AG191" s="25">
        <v>658.13</v>
      </c>
      <c r="AH191" s="25">
        <v>772.72</v>
      </c>
      <c r="AI191" s="25" t="s">
        <v>88</v>
      </c>
      <c r="AJ191" s="25" t="s">
        <v>89</v>
      </c>
      <c r="AK191" s="32">
        <f t="shared" si="18"/>
        <v>169.79000000000002</v>
      </c>
      <c r="AL191" s="32">
        <f t="shared" si="19"/>
        <v>149.65999999999997</v>
      </c>
      <c r="AM191" s="32">
        <f t="shared" si="20"/>
        <v>2006.9899999999998</v>
      </c>
      <c r="AN191" s="32">
        <f t="shared" si="21"/>
        <v>2237.58</v>
      </c>
      <c r="AO191" s="34">
        <f t="shared" si="22"/>
        <v>1.1345048777228388</v>
      </c>
      <c r="AP191" s="34">
        <f t="shared" si="23"/>
        <v>0.89694670134699084</v>
      </c>
      <c r="AQ191" s="33">
        <f t="shared" si="24"/>
        <v>2257.19</v>
      </c>
      <c r="AR191" s="37">
        <f t="shared" si="25"/>
        <v>319.45</v>
      </c>
      <c r="AS191" s="37">
        <f t="shared" si="26"/>
        <v>4244.57</v>
      </c>
    </row>
    <row r="192" spans="1:45" x14ac:dyDescent="0.25">
      <c r="A192" s="26" t="s">
        <v>470</v>
      </c>
      <c r="B192" t="s">
        <v>471</v>
      </c>
      <c r="C192" s="25">
        <v>0</v>
      </c>
      <c r="D192" s="25">
        <v>0</v>
      </c>
      <c r="E192" s="25">
        <v>0</v>
      </c>
      <c r="F192" s="25">
        <v>0</v>
      </c>
      <c r="G192" s="25">
        <v>156.4</v>
      </c>
      <c r="H192" s="25">
        <v>43.37</v>
      </c>
      <c r="I192" s="25">
        <v>238.97</v>
      </c>
      <c r="J192" s="25">
        <v>107.74</v>
      </c>
      <c r="K192" s="25">
        <v>188.77</v>
      </c>
      <c r="L192" s="25">
        <v>135.22999999999999</v>
      </c>
      <c r="M192" s="25">
        <v>1056.6099999999999</v>
      </c>
      <c r="N192" s="25">
        <v>860.16</v>
      </c>
      <c r="O192" s="25">
        <v>371.59</v>
      </c>
      <c r="P192" s="25">
        <v>314.02</v>
      </c>
      <c r="Q192" s="25">
        <v>1424.79</v>
      </c>
      <c r="R192" s="25">
        <v>1888.12</v>
      </c>
      <c r="S192" s="25">
        <v>359.16</v>
      </c>
      <c r="T192" s="25">
        <v>1138.78</v>
      </c>
      <c r="U192" s="25">
        <v>1157.46</v>
      </c>
      <c r="V192" s="25">
        <v>2347.29</v>
      </c>
      <c r="W192" s="25">
        <v>1076.06</v>
      </c>
      <c r="X192" s="25">
        <v>329.18</v>
      </c>
      <c r="Y192" s="25">
        <v>1376.21</v>
      </c>
      <c r="Z192" s="25">
        <v>261.87</v>
      </c>
      <c r="AA192" s="25">
        <v>483.97</v>
      </c>
      <c r="AB192" s="25">
        <v>449.82</v>
      </c>
      <c r="AC192" s="25">
        <v>1801.05</v>
      </c>
      <c r="AD192" s="25">
        <v>2550.42</v>
      </c>
      <c r="AE192" s="25">
        <v>497.87</v>
      </c>
      <c r="AF192" s="25">
        <v>1071.79</v>
      </c>
      <c r="AG192" s="25">
        <v>4450.5200000000004</v>
      </c>
      <c r="AH192" s="25">
        <v>4946.21</v>
      </c>
      <c r="AI192" s="25" t="s">
        <v>101</v>
      </c>
      <c r="AJ192" s="25" t="s">
        <v>89</v>
      </c>
      <c r="AK192" s="32">
        <f t="shared" si="18"/>
        <v>3133.8199999999997</v>
      </c>
      <c r="AL192" s="32">
        <f t="shared" si="19"/>
        <v>3482.19</v>
      </c>
      <c r="AM192" s="32">
        <f t="shared" si="20"/>
        <v>11505.61</v>
      </c>
      <c r="AN192" s="32">
        <f t="shared" si="21"/>
        <v>12961.81</v>
      </c>
      <c r="AO192" s="34">
        <f t="shared" si="22"/>
        <v>0.89995663648451107</v>
      </c>
      <c r="AP192" s="34">
        <f t="shared" si="23"/>
        <v>0.88765457910585022</v>
      </c>
      <c r="AQ192" s="33">
        <f t="shared" si="24"/>
        <v>14831.78</v>
      </c>
      <c r="AR192" s="37">
        <f t="shared" si="25"/>
        <v>6616.01</v>
      </c>
      <c r="AS192" s="37">
        <f t="shared" si="26"/>
        <v>24467.42</v>
      </c>
    </row>
    <row r="193" spans="1:45" x14ac:dyDescent="0.25">
      <c r="A193" s="26" t="s">
        <v>472</v>
      </c>
      <c r="B193" t="s">
        <v>473</v>
      </c>
      <c r="C193" s="25">
        <v>0</v>
      </c>
      <c r="D193" s="25">
        <v>0</v>
      </c>
      <c r="E193" s="25">
        <v>5.24</v>
      </c>
      <c r="F193" s="25">
        <v>0</v>
      </c>
      <c r="G193" s="25">
        <v>31.42</v>
      </c>
      <c r="H193" s="25">
        <v>10.47</v>
      </c>
      <c r="I193" s="25">
        <v>104.73</v>
      </c>
      <c r="J193" s="25">
        <v>41.89</v>
      </c>
      <c r="K193" s="25">
        <v>99.49</v>
      </c>
      <c r="L193" s="25">
        <v>47.13</v>
      </c>
      <c r="M193" s="25">
        <v>534.11</v>
      </c>
      <c r="N193" s="25">
        <v>397.96</v>
      </c>
      <c r="O193" s="25">
        <v>52.36</v>
      </c>
      <c r="P193" s="25">
        <v>62.84</v>
      </c>
      <c r="Q193" s="25">
        <v>602.17999999999995</v>
      </c>
      <c r="R193" s="25">
        <v>654.54</v>
      </c>
      <c r="S193" s="25">
        <v>57.6</v>
      </c>
      <c r="T193" s="25">
        <v>94.25</v>
      </c>
      <c r="U193" s="25">
        <v>151.85</v>
      </c>
      <c r="V193" s="25">
        <v>497.45</v>
      </c>
      <c r="W193" s="25">
        <v>83.78</v>
      </c>
      <c r="X193" s="25">
        <v>26.18</v>
      </c>
      <c r="Y193" s="25">
        <v>282.76</v>
      </c>
      <c r="Z193" s="25">
        <v>20.95</v>
      </c>
      <c r="AA193" s="25">
        <v>141.38</v>
      </c>
      <c r="AB193" s="25">
        <v>115.2</v>
      </c>
      <c r="AC193" s="25">
        <v>560.29</v>
      </c>
      <c r="AD193" s="25">
        <v>644.07000000000005</v>
      </c>
      <c r="AE193" s="25">
        <v>41.89</v>
      </c>
      <c r="AF193" s="25">
        <v>120.44</v>
      </c>
      <c r="AG193" s="25">
        <v>853.53</v>
      </c>
      <c r="AH193" s="25">
        <v>1099.6400000000001</v>
      </c>
      <c r="AI193" s="25" t="s">
        <v>88</v>
      </c>
      <c r="AJ193" s="25" t="s">
        <v>89</v>
      </c>
      <c r="AK193" s="32">
        <f t="shared" si="18"/>
        <v>507.91999999999996</v>
      </c>
      <c r="AL193" s="32">
        <f t="shared" si="19"/>
        <v>476.51</v>
      </c>
      <c r="AM193" s="32">
        <f t="shared" si="20"/>
        <v>3094.6899999999996</v>
      </c>
      <c r="AN193" s="32">
        <f t="shared" si="21"/>
        <v>3356.5</v>
      </c>
      <c r="AO193" s="34">
        <f t="shared" si="22"/>
        <v>1.0659167698474323</v>
      </c>
      <c r="AP193" s="34">
        <f t="shared" si="23"/>
        <v>0.92199910621182768</v>
      </c>
      <c r="AQ193" s="33">
        <f t="shared" si="24"/>
        <v>3859.1799999999994</v>
      </c>
      <c r="AR193" s="37">
        <f t="shared" si="25"/>
        <v>984.43</v>
      </c>
      <c r="AS193" s="37">
        <f t="shared" si="26"/>
        <v>6451.19</v>
      </c>
    </row>
    <row r="194" spans="1:45" x14ac:dyDescent="0.25">
      <c r="A194" s="26" t="s">
        <v>474</v>
      </c>
      <c r="B194" t="s">
        <v>475</v>
      </c>
      <c r="C194" s="25">
        <v>0</v>
      </c>
      <c r="D194" s="25">
        <v>0</v>
      </c>
      <c r="E194" s="25">
        <v>0</v>
      </c>
      <c r="F194" s="25">
        <v>0</v>
      </c>
      <c r="G194" s="25">
        <v>141.63</v>
      </c>
      <c r="H194" s="25">
        <v>22.26</v>
      </c>
      <c r="I194" s="25">
        <v>423.89</v>
      </c>
      <c r="J194" s="25">
        <v>137.6</v>
      </c>
      <c r="K194" s="25">
        <v>199.14</v>
      </c>
      <c r="L194" s="25">
        <v>192.25</v>
      </c>
      <c r="M194" s="25">
        <v>1964.2</v>
      </c>
      <c r="N194" s="25">
        <v>1472.56</v>
      </c>
      <c r="O194" s="25">
        <v>211.23</v>
      </c>
      <c r="P194" s="25">
        <v>208.39</v>
      </c>
      <c r="Q194" s="25">
        <v>1699.5</v>
      </c>
      <c r="R194" s="25">
        <v>2388.06</v>
      </c>
      <c r="S194" s="25">
        <v>135.19999999999999</v>
      </c>
      <c r="T194" s="25">
        <v>451.69</v>
      </c>
      <c r="U194" s="25">
        <v>961.76</v>
      </c>
      <c r="V194" s="25">
        <v>2084.23</v>
      </c>
      <c r="W194" s="25">
        <v>367.92</v>
      </c>
      <c r="X194" s="25">
        <v>91.42</v>
      </c>
      <c r="Y194" s="25">
        <v>1057.83</v>
      </c>
      <c r="Z194" s="25">
        <v>181.62</v>
      </c>
      <c r="AA194" s="25">
        <v>244.35</v>
      </c>
      <c r="AB194" s="25">
        <v>275.41000000000003</v>
      </c>
      <c r="AC194" s="25">
        <v>2134.79</v>
      </c>
      <c r="AD194" s="25">
        <v>3053.69</v>
      </c>
      <c r="AE194" s="25">
        <v>182.77</v>
      </c>
      <c r="AF194" s="25">
        <v>438.71</v>
      </c>
      <c r="AG194" s="25">
        <v>4064.49</v>
      </c>
      <c r="AH194" s="25">
        <v>4241.43</v>
      </c>
      <c r="AI194" s="25" t="s">
        <v>88</v>
      </c>
      <c r="AJ194" s="25" t="s">
        <v>89</v>
      </c>
      <c r="AK194" s="32">
        <f t="shared" si="18"/>
        <v>1482.24</v>
      </c>
      <c r="AL194" s="32">
        <f t="shared" si="19"/>
        <v>1680.1299999999999</v>
      </c>
      <c r="AM194" s="32">
        <f t="shared" si="20"/>
        <v>12306.460000000001</v>
      </c>
      <c r="AN194" s="32">
        <f t="shared" si="21"/>
        <v>13559.19</v>
      </c>
      <c r="AO194" s="34">
        <f t="shared" si="22"/>
        <v>0.88221744745942288</v>
      </c>
      <c r="AP194" s="34">
        <f t="shared" si="23"/>
        <v>0.90761026285493462</v>
      </c>
      <c r="AQ194" s="33">
        <f t="shared" si="24"/>
        <v>14392.380000000003</v>
      </c>
      <c r="AR194" s="37">
        <f t="shared" si="25"/>
        <v>3162.37</v>
      </c>
      <c r="AS194" s="37">
        <f t="shared" si="26"/>
        <v>25865.65</v>
      </c>
    </row>
    <row r="195" spans="1:45" x14ac:dyDescent="0.25">
      <c r="A195" s="26" t="s">
        <v>476</v>
      </c>
      <c r="B195" t="s">
        <v>477</v>
      </c>
      <c r="C195" s="25">
        <v>3.05</v>
      </c>
      <c r="D195" s="25">
        <v>0</v>
      </c>
      <c r="E195" s="25">
        <v>0</v>
      </c>
      <c r="F195" s="25">
        <v>0</v>
      </c>
      <c r="G195" s="25">
        <v>108.21</v>
      </c>
      <c r="H195" s="25">
        <v>37.9</v>
      </c>
      <c r="I195" s="25">
        <v>138.86000000000001</v>
      </c>
      <c r="J195" s="25">
        <v>51.7</v>
      </c>
      <c r="K195" s="25">
        <v>321.86</v>
      </c>
      <c r="L195" s="25">
        <v>134.36000000000001</v>
      </c>
      <c r="M195" s="25">
        <v>946.03</v>
      </c>
      <c r="N195" s="25">
        <v>548.66999999999996</v>
      </c>
      <c r="O195" s="25">
        <v>358.53</v>
      </c>
      <c r="P195" s="25">
        <v>306.88</v>
      </c>
      <c r="Q195" s="25">
        <v>1043.72</v>
      </c>
      <c r="R195" s="25">
        <v>1194.8399999999999</v>
      </c>
      <c r="S195" s="25">
        <v>437.17</v>
      </c>
      <c r="T195" s="25">
        <v>1032.18</v>
      </c>
      <c r="U195" s="25">
        <v>806.99</v>
      </c>
      <c r="V195" s="25">
        <v>1832.65</v>
      </c>
      <c r="W195" s="25">
        <v>807.19</v>
      </c>
      <c r="X195" s="25">
        <v>239.36</v>
      </c>
      <c r="Y195" s="25">
        <v>959.65</v>
      </c>
      <c r="Z195" s="25">
        <v>221.1</v>
      </c>
      <c r="AA195" s="25">
        <v>466.39</v>
      </c>
      <c r="AB195" s="25">
        <v>366.2</v>
      </c>
      <c r="AC195" s="25">
        <v>998.71</v>
      </c>
      <c r="AD195" s="25">
        <v>1532.8</v>
      </c>
      <c r="AE195" s="25">
        <v>750.35</v>
      </c>
      <c r="AF195" s="25">
        <v>1244.76</v>
      </c>
      <c r="AG195" s="25">
        <v>4121.78</v>
      </c>
      <c r="AH195" s="25">
        <v>4195.6000000000004</v>
      </c>
      <c r="AI195" s="25" t="s">
        <v>88</v>
      </c>
      <c r="AJ195" s="25" t="s">
        <v>89</v>
      </c>
      <c r="AK195" s="32">
        <f t="shared" ref="AK195" si="27">C195+G195+K195+O195+S195+W195+AA195+AE195</f>
        <v>3252.75</v>
      </c>
      <c r="AL195" s="32">
        <f t="shared" ref="AL195" si="28">D195+H195+L195+P195+T195+X195+AB195+AF195</f>
        <v>3361.6400000000003</v>
      </c>
      <c r="AM195" s="32">
        <f t="shared" ref="AM195" si="29">E195+I195+M195+Q195+U195+Y195+AC195+AG195</f>
        <v>9015.739999999998</v>
      </c>
      <c r="AN195" s="32">
        <f t="shared" ref="AN195" si="30">F195+J195+N195+R195+V195+Z195+AD195+AH195</f>
        <v>9577.36</v>
      </c>
      <c r="AO195" s="34">
        <f t="shared" ref="AO195" si="31">IFERROR(AK195/AL195,0)</f>
        <v>0.96760807225044909</v>
      </c>
      <c r="AP195" s="34">
        <f t="shared" ref="AP195" si="32">IFERROR(AM195/AN195,0)</f>
        <v>0.94135962311117027</v>
      </c>
      <c r="AQ195" s="33">
        <f t="shared" ref="AQ195" si="33">SUM(C195:Z195)</f>
        <v>11530.900000000001</v>
      </c>
      <c r="AR195" s="37">
        <f t="shared" ref="AR195" si="34">AK195+AL195</f>
        <v>6614.39</v>
      </c>
      <c r="AS195" s="37">
        <f t="shared" ref="AS195" si="35">AM195+AN195</f>
        <v>18593.099999999999</v>
      </c>
    </row>
    <row r="196" spans="1:45" x14ac:dyDescent="0.25">
      <c r="B196" s="32" t="s">
        <v>528</v>
      </c>
      <c r="C196" s="33">
        <f>SUM(C2:C195)</f>
        <v>54.300000000000004</v>
      </c>
      <c r="D196" s="33">
        <f t="shared" ref="D196:AH196" si="36">SUM(D2:D195)</f>
        <v>3.14</v>
      </c>
      <c r="E196" s="33">
        <f t="shared" si="36"/>
        <v>614.02999999999975</v>
      </c>
      <c r="F196" s="33">
        <f t="shared" si="36"/>
        <v>164.65</v>
      </c>
      <c r="G196" s="33">
        <f t="shared" si="36"/>
        <v>6268.2300000000014</v>
      </c>
      <c r="H196" s="33">
        <f t="shared" si="36"/>
        <v>1559.1099999999997</v>
      </c>
      <c r="I196" s="33">
        <f t="shared" si="36"/>
        <v>15298.079999999998</v>
      </c>
      <c r="J196" s="33">
        <f t="shared" si="36"/>
        <v>5576.8</v>
      </c>
      <c r="K196" s="33">
        <f t="shared" si="36"/>
        <v>10975.229999999994</v>
      </c>
      <c r="L196" s="33">
        <f t="shared" si="36"/>
        <v>6906.4499999999971</v>
      </c>
      <c r="M196" s="33">
        <f t="shared" si="36"/>
        <v>72513.810000000012</v>
      </c>
      <c r="N196" s="33">
        <f t="shared" si="36"/>
        <v>49595.260000000017</v>
      </c>
      <c r="O196" s="33">
        <f t="shared" si="36"/>
        <v>12258.650000000007</v>
      </c>
      <c r="P196" s="33">
        <f t="shared" si="36"/>
        <v>11059.22</v>
      </c>
      <c r="Q196" s="33">
        <f t="shared" si="36"/>
        <v>68577.080000000016</v>
      </c>
      <c r="R196" s="33">
        <f t="shared" si="36"/>
        <v>86814.49</v>
      </c>
      <c r="S196" s="33">
        <f t="shared" si="36"/>
        <v>10438.570000000002</v>
      </c>
      <c r="T196" s="33">
        <f t="shared" si="36"/>
        <v>31772.289999999997</v>
      </c>
      <c r="U196" s="33">
        <f t="shared" si="36"/>
        <v>40106.650000000009</v>
      </c>
      <c r="V196" s="33">
        <f t="shared" si="36"/>
        <v>95310.27999999997</v>
      </c>
      <c r="W196" s="33">
        <f t="shared" si="36"/>
        <v>29799.79</v>
      </c>
      <c r="X196" s="33">
        <f t="shared" si="36"/>
        <v>7668.9900000000016</v>
      </c>
      <c r="Y196" s="33">
        <f t="shared" si="36"/>
        <v>55173.010000000017</v>
      </c>
      <c r="Z196" s="33">
        <f t="shared" si="36"/>
        <v>10267.949999999999</v>
      </c>
      <c r="AA196" s="33">
        <f t="shared" si="36"/>
        <v>15837.62</v>
      </c>
      <c r="AB196" s="33">
        <f t="shared" si="36"/>
        <v>13818.140000000001</v>
      </c>
      <c r="AC196" s="33">
        <f t="shared" si="36"/>
        <v>82096.339999999967</v>
      </c>
      <c r="AD196" s="33">
        <f t="shared" si="36"/>
        <v>106654.90999999999</v>
      </c>
      <c r="AE196" s="33">
        <f t="shared" si="36"/>
        <v>19282.599999999991</v>
      </c>
      <c r="AF196" s="33">
        <f t="shared" si="36"/>
        <v>33988.569999999992</v>
      </c>
      <c r="AG196" s="33">
        <f t="shared" si="36"/>
        <v>194708.90999999997</v>
      </c>
      <c r="AH196" s="33">
        <f t="shared" si="36"/>
        <v>201272.19999999998</v>
      </c>
      <c r="AL196" s="32"/>
      <c r="AM196" s="32"/>
      <c r="AN196" s="32"/>
      <c r="AO196" s="34"/>
      <c r="AP196" s="34"/>
      <c r="AQ196" s="16" t="s">
        <v>33</v>
      </c>
      <c r="AR196" s="33">
        <f>AVERAGE(AR2:AR195)</f>
        <v>1091.1902061855674</v>
      </c>
      <c r="AS196" s="33">
        <f>AVERAGE(AS2:AS195)</f>
        <v>5591.4662371134018</v>
      </c>
    </row>
    <row r="197" spans="1:45" x14ac:dyDescent="0.25">
      <c r="AL197" s="32"/>
      <c r="AM197" s="32"/>
      <c r="AN197" s="32"/>
      <c r="AO197" s="34"/>
      <c r="AP197" s="34"/>
      <c r="AQ197" s="16" t="s">
        <v>34</v>
      </c>
      <c r="AR197" s="33">
        <f>MEDIAN(AR2:AR195)</f>
        <v>184.66</v>
      </c>
      <c r="AS197" s="33">
        <f>MEDIAN(AS2:AS195)</f>
        <v>2049.605</v>
      </c>
    </row>
    <row r="198" spans="1:45" x14ac:dyDescent="0.25">
      <c r="AL198" s="32"/>
      <c r="AM198" s="32"/>
      <c r="AN198" s="32"/>
      <c r="AO198" s="34"/>
      <c r="AP198" s="34"/>
      <c r="AQ198" s="16" t="s">
        <v>35</v>
      </c>
      <c r="AR198" s="33">
        <f>MIN(AR2:AR195)</f>
        <v>0</v>
      </c>
      <c r="AS198" s="33">
        <f>MIN(AS2:AS195)</f>
        <v>53.33</v>
      </c>
    </row>
    <row r="199" spans="1:45" x14ac:dyDescent="0.25">
      <c r="AL199" s="32"/>
      <c r="AM199" s="32"/>
      <c r="AN199" s="32"/>
      <c r="AO199" s="34"/>
      <c r="AP199" s="34"/>
      <c r="AQ199" s="16" t="s">
        <v>36</v>
      </c>
      <c r="AR199" s="35">
        <f>MAX(AR2:AR195)</f>
        <v>17671.14</v>
      </c>
      <c r="AS199" s="35">
        <f>MAX(AS2:AS195)</f>
        <v>50296.43</v>
      </c>
    </row>
    <row r="200" spans="1:45" ht="13.8" thickBot="1" x14ac:dyDescent="0.3">
      <c r="AL200" s="32"/>
      <c r="AM200" s="32"/>
      <c r="AN200" s="32"/>
      <c r="AO200" s="34"/>
      <c r="AP200" s="34"/>
      <c r="AQ200" s="17" t="s">
        <v>37</v>
      </c>
      <c r="AR200" s="35">
        <f>AR199-AR198</f>
        <v>17671.14</v>
      </c>
      <c r="AS200" s="35">
        <f>AS199-AS198</f>
        <v>50243.1</v>
      </c>
    </row>
    <row r="201" spans="1:45" x14ac:dyDescent="0.25">
      <c r="AQ201" s="19" t="s">
        <v>44</v>
      </c>
      <c r="AR201" s="33">
        <f>VARP(AR2:AR195)</f>
        <v>5769877.2580710864</v>
      </c>
      <c r="AS201" s="33">
        <f>VARP(AS2:AS195)</f>
        <v>67220603.289682224</v>
      </c>
    </row>
    <row r="202" spans="1:45" x14ac:dyDescent="0.25">
      <c r="AQ202" s="21" t="s">
        <v>45</v>
      </c>
      <c r="AR202" s="33">
        <f>_xlfn.STDEV.P(AR2:AR195)</f>
        <v>2402.0568806901902</v>
      </c>
      <c r="AS202" s="33">
        <f>_xlfn.STDEV.P(AS2:AS195)</f>
        <v>8198.8171884536023</v>
      </c>
    </row>
    <row r="203" spans="1:45" x14ac:dyDescent="0.25">
      <c r="AQ203" s="21" t="s">
        <v>46</v>
      </c>
      <c r="AR203" s="35">
        <f>AR202/AR196</f>
        <v>2.2013182184680433</v>
      </c>
      <c r="AS203" s="35">
        <f>AS202/AS196</f>
        <v>1.4663089860104828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217</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Instructions</vt:lpstr>
      <vt:lpstr>DATA</vt:lpstr>
      <vt:lpstr>META</vt:lpstr>
      <vt:lpstr>Exercice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Raphael Kobenan</cp:lastModifiedBy>
  <cp:revision>81</cp:revision>
  <dcterms:created xsi:type="dcterms:W3CDTF">2017-07-19T16:00:49Z</dcterms:created>
  <dcterms:modified xsi:type="dcterms:W3CDTF">2026-09-28T06:41:43Z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